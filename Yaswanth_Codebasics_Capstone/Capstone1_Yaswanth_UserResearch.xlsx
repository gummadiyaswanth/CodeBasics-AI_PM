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blem Discovery" sheetId="1" state="visible" r:id="rId3"/>
    <sheet name="Evidence" sheetId="2" state="visible" r:id="rId4"/>
    <sheet name="Research Notes" sheetId="3" state="visible" r:id="rId5"/>
  </sheets>
  <definedNames>
    <definedName function="false" hidden="true" localSheetId="1" name="_xlnm._FilterDatabase" vbProcedure="false">Evidence!$A$1:$O$34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<sst xmlns="http://schemas.openxmlformats.org/spreadsheetml/2006/main" count="462" uniqueCount="316">
  <si>
    <t xml:space="preserve">Problem Discovery &amp; User Research: AtliQ Sales &amp; CRM Assistant</t>
  </si>
  <si>
    <t xml:space="preserve">Capstone 1. Author: Yaswanth. Evidence: CRM export (40 rows), 34 emails, 16 meeting notes, 2 client office-hour transcripts. Dataset 'today' = 10 Jul 2026.</t>
  </si>
  <si>
    <t xml:space="preserve">PAIN POINT</t>
  </si>
  <si>
    <t xml:space="preserve">Karandeep, CEO and founder-seller at AtliQ Technologies</t>
  </si>
  <si>
    <t xml:space="preserve">"I answer emails on my phone between meetings and it never gets into the system. By the time I'm at a laptop it's gone." (Internal pipeline review, 2 Jul 2026)
"Most of my calls are happening on the fly... the notes end up being inside my brain." (Client Meeting 1)</t>
  </si>
  <si>
    <t xml:space="preserve">A) PERSONA</t>
  </si>
  <si>
    <t xml:space="preserve">What would you want to know about the persona before building anything? Where conversations happen, what 'updated' means to him, how he decides who comes first, and what he will and won't do on a phone between meetings.</t>
  </si>
  <si>
    <t xml:space="preserve">Profile</t>
  </si>
  <si>
    <t xml:space="preserve">CEO of AtliQ (custom software, data platforms, AI). Sells with co-founders Bhavin and Dhaval plus one salesperson (Jay); all of them also run day-to-day operations.</t>
  </si>
  <si>
    <t xml:space="preserve">Clients mostly in US EST/CST and India; takes many calls on the commute or while walking. Channels: RingCentral (US dialer), WhatsApp, FaceTime, iMessage, Teams (read.ai notes), Slack Connect with advisors, LinkedIn, email.</t>
  </si>
  <si>
    <t xml:space="preserve">AtliQ uses an in-house CRM, 'Kaizen', built because off-the-shelf CRMs were too heavy. 'Other than that the CRM is good; the only thing is it's not being updated.'</t>
  </si>
  <si>
    <t xml:space="preserve">Goal</t>
  </si>
  <si>
    <t xml:space="preserve">Close more deals and grow revenue from leads AtliQ already has (referrals, conferences, existing clients).</t>
  </si>
  <si>
    <t xml:space="preserve">"No client should ever wait for a reply": respond to every ask and keep every promise on time.</t>
  </si>
  <si>
    <t xml:space="preserve">Spend founder time on the deals that matter most (urgency, value, competition), and hand existing clients to the person who owns the relationship.</t>
  </si>
  <si>
    <t xml:space="preserve">Pain Points</t>
  </si>
  <si>
    <t xml:space="preserve">Conversations happen on 7+ channels, so context lives in inboxes, chats and his head, not in Kaizen. The CRM was last properly updated about 15 days ago.</t>
  </si>
  <si>
    <t xml:space="preserve">Promises slip: 'I see a mail from a client, I'll get back to this in an hour or two, and I don't ever do that.' Example: ByteBridge case studies promised for 15 May, never sent.</t>
  </si>
  <si>
    <t xml:space="preserve">The team finds out what's urgent by accident: the HealthFirst board date (14 Jul) was found only by searching an inbox during the 7 Jul meeting.</t>
  </si>
  <si>
    <t xml:space="preserve">Behaviour</t>
  </si>
  <si>
    <t xml:space="preserve">Multitasks: takes calls while commuting or walking and plans to 'update tonight'. Updates happen in bursts, sometimes weeks apart.</t>
  </si>
  <si>
    <t xml:space="preserve">Delegates logging by forwarding emails or messaging Jay or Ayush ('Can you put this in the CRM? I'll forget half of it by next week'). Those hand-offs also get dropped (MiraHealth).</t>
  </si>
  <si>
    <t xml:space="preserve">Prioritises by gut on urgency, budget and competition; follows up 3-4 days after silence, or 2-3 days after a client's stated date.</t>
  </si>
  <si>
    <t xml:space="preserve">Success Metric</t>
  </si>
  <si>
    <t xml:space="preserve">Client-wait SLA: share of client asks and our promises closed within 2 business days (target 90%; today the median waiting client has waited 15 days).</t>
  </si>
  <si>
    <t xml:space="preserve">Win rate and revenue from already-known pipeline (referrals, revived and cross-sell deals) rather than new lead volume.</t>
  </si>
  <si>
    <t xml:space="preserve">Zero time spent on manual CRM entry; pipeline review starts from an accurate CRM instead of 2 hours of inbox reconciliation.</t>
  </si>
  <si>
    <t xml:space="preserve">B) EMPATHY MAP: What he...</t>
  </si>
  <si>
    <t xml:space="preserve">What would you want to know before building anything? What he actually does after a call ends, what he fears losing, and what would make him trust an automatic system over his own memory.</t>
  </si>
  <si>
    <t xml:space="preserve">THINKS</t>
  </si>
  <si>
    <t xml:space="preserve">"I'll update it tonight." / "Someone on the team probably replied to Sanjay." / "The leads are there; I just can't keep all of them in my head." / "Any CRM has more value if it has more data." Worries that a forgotten reply makes AtliQ look like the vendor who disappeared mid-project (SmartServe's fear).</t>
  </si>
  <si>
    <t xml:space="preserve">FEELS</t>
  </si>
  <si>
    <t xml:space="preserve">Guilty when a happy client has to chase ("That one's on me": Dhaval on Sunrise). Anxious about big deals sitting idle (FinEdge $95k, 3 weeks). Overloaded: 3 surprise meetings a day. Frustrated that 'update the CRM same day' was agreed in April and again in July and still didn't stick.</t>
  </si>
  <si>
    <t xml:space="preserve">SAYS</t>
  </si>
  <si>
    <t xml:space="preserve">"I answer emails on my phone between meetings and it never gets into the system." / "We find out what's urgent by accident." / "Half of these will go cold before we get to them. Happens every conference." / "I'm not particular about how I receive the notifications, as long as I receive them."</t>
  </si>
  <si>
    <t xml:space="preserve">DOES</t>
  </si>
  <si>
    <t xml:space="preserve">Takes calls on WhatsApp, RingCentral, FaceTime and Teams; replies on the phone ('will revert in a day or two'); forwards emails to Jay or Ayush to log; keeps business cards in a drawer; reconstructs pipeline status by searching inboxes during meetings; prioritises by gut on urgency, budget and competition.</t>
  </si>
  <si>
    <t xml:space="preserve">C) 5 WHYS</t>
  </si>
  <si>
    <t xml:space="preserve">Ask "why" five times: dig from the symptom down to the root cause.</t>
  </si>
  <si>
    <t xml:space="preserve">Why #1</t>
  </si>
  <si>
    <t xml:space="preserve">Why do clients wait weeks to hear back from AtliQ?</t>
  </si>
  <si>
    <t xml:space="preserve">Possible Answer:</t>
  </si>
  <si>
    <t xml:space="preserve">Because nobody notices that a reply or a promise is outstanding. On 10 Jul, 33 accounts are waiting on AtliQ, e.g. FinEdge ($95k, compliance cleared 19 Jun, no reply), FreshCart (warm referral, chased 16 Jun), Meridian (proposal questions since 16 Jun).</t>
  </si>
  <si>
    <t xml:space="preserve">Why #2</t>
  </si>
  <si>
    <t xml:space="preserve">Why does nobody notice?</t>
  </si>
  <si>
    <t xml:space="preserve">Because the one place meant to show what's due, the CRM, doesn't know. next_followup_date is empty on 40 of 40 records; statuses are stale (Kaveri and ClearPath still 'Lost' though both came back; Trustline 'Proposal Sent' though approved); 6 live leads aren't in it at all.</t>
  </si>
  <si>
    <t xml:space="preserve">Why #3</t>
  </si>
  <si>
    <t xml:space="preserve">Why doesn't the CRM know?</t>
  </si>
  <si>
    <t xml:space="preserve">Because updating it is a separate, manual, laptop task that happens after the conversation, and the conversations happen on phones and chats between meetings: WhatsApp, iMessage, RingCentral, FaceTime, Slack, Teams, conference booths, voice.</t>
  </si>
  <si>
    <t xml:space="preserve">Why #4</t>
  </si>
  <si>
    <t xml:space="preserve">Why doesn't the team just do it anyway? (They agreed to same-day updates in April and again on 2 Jul.)</t>
  </si>
  <si>
    <t xml:space="preserve">Because the sellers are also running the company; logging has no immediate payoff and competes with client work; context fades within hours; delegation adds another hand-off that also drops (MiraHealth notes, NovaPharma questionnaire forwarded to Pranav). Jay spent ~2 hours reconciling before the review and still missed items.</t>
  </si>
  <si>
    <t xml:space="preserve">Why #5</t>
  </si>
  <si>
    <t xml:space="preserve">Why does that break the whole system?</t>
  </si>
  <si>
    <t xml:space="preserve">Because both capture (getting what was said into the system) and recall (surfacing what's owed, when) depend on the memory and discipline of the four busiest people. There is no automatic capture of asks and commitments, and no trigger that tells an owner 'this client is waiting on you, today'.</t>
  </si>
  <si>
    <t xml:space="preserve">ACTUAL PROBLEM STATEMENT (ROOT CAUSE)</t>
  </si>
  <si>
    <t xml:space="preserve">AtliQ's founder-sellers have no automatic way to capture what clients ask and what they promise across the channels they actually sell on (phone, WhatsApp, iMessage, Slack, Teams, email), so neither the CRM nor the team can see who is waiting on AtliQ and by when. Revenue leaks through unanswered replies, broken promises, missed revisits and unnoticed cross-sells, not through a lack of leads. This is a memory problem, not a lead problem and not a CRM-tool problem: Kaizen works; it just never hears about the conversations.</t>
  </si>
  <si>
    <t xml:space="preserve">PROPOSED SOLUTION</t>
  </si>
  <si>
    <t xml:space="preserve">Recall: an AI sales memory that sits between AtliQ's channels and Kaizen.
1. Capture without typing: it reads email threads, meeting notes, WhatsApp/iMessage/Slack messages, read.ai call summaries and voice memos dictated after on-the-go calls.
2. Extract with evidence: an LLM pulls out client asks, our promises, deadlines, budgets, competitors, cross-sells and new leads, each with the exact quote. Anything it can't quote is dropped.
3. Who's waiting on us, today: rules (not the model) rank open items by the CEO's own criteria (urgency, deal value, competition, relationship) into a daily list per owner, with a reason for every rank.
4. Draft, don't send: one-click follow-up drafts grounded in the thread; unknown facts become [placeholders]; the founder sends.
5. Keep Kaizen honest: proposed field updates (status, value, owner, notes, last contact, next follow-up), plus missing leads, duplicates and unlogged cross-sells, each approved by a human before export.
Success = North Star: % of client asks and AtliQ promises closed within 2 business days (from ~0% today to 90%).</t>
  </si>
  <si>
    <t xml:space="preserve">Sheet 'Evidence' lists every account waiting on AtliQ with its source. Sheet 'Research Notes' captures the client interviews.</t>
  </si>
  <si>
    <t xml:space="preserve">Rank</t>
  </si>
  <si>
    <t xml:space="preserve">Account</t>
  </si>
  <si>
    <t xml:space="preserve">Owner</t>
  </si>
  <si>
    <t xml:space="preserve">Priority</t>
  </si>
  <si>
    <t xml:space="preserve">Score</t>
  </si>
  <si>
    <t xml:space="preserve">Days waiting</t>
  </si>
  <si>
    <t xml:space="preserve">Next due</t>
  </si>
  <si>
    <t xml:space="preserve">Known value ($)</t>
  </si>
  <si>
    <t xml:space="preserve">In CRM?</t>
  </si>
  <si>
    <t xml:space="preserve">Open items</t>
  </si>
  <si>
    <t xml:space="preserve">What's waiting (top item)</t>
  </si>
  <si>
    <t xml:space="preserve">Exact words</t>
  </si>
  <si>
    <t xml:space="preserve">Source file</t>
  </si>
  <si>
    <t xml:space="preserve">CRM status today</t>
  </si>
  <si>
    <t xml:space="preserve">CRM last contact</t>
  </si>
  <si>
    <t xml:space="preserve">FinEdge Bank</t>
  </si>
  <si>
    <t xml:space="preserve">Bhavin</t>
  </si>
  <si>
    <t xml:space="preserve">P1</t>
  </si>
  <si>
    <t xml:space="preserve">2026-06-26</t>
  </si>
  <si>
    <t xml:space="preserve">Yes</t>
  </si>
  <si>
    <t xml:space="preserve">Suresh asked us to confirm availability for a commercial call the week of 29 June. Unconfirmed.</t>
  </si>
  <si>
    <t xml:space="preserve">My assistant will find a slot the week of 29 June — please confirm your availability.</t>
  </si>
  <si>
    <t xml:space="preserve">2026-03-26_finedge_compliance_docs</t>
  </si>
  <si>
    <t xml:space="preserve">Proposal Sent</t>
  </si>
  <si>
    <t xml:space="preserve">2026-03-30</t>
  </si>
  <si>
    <t xml:space="preserve">NovaPharma</t>
  </si>
  <si>
    <t xml:space="preserve">2026-07-08</t>
  </si>
  <si>
    <t xml:space="preserve">Lisa (iMessage) wants an ETA today on the questionnaire and references.</t>
  </si>
  <si>
    <t xml:space="preserve">Can you give me an ETA today so I can calm them down?</t>
  </si>
  <si>
    <t xml:space="preserve">2026-07-08_novapharma_imessage</t>
  </si>
  <si>
    <t xml:space="preserve">Contacted</t>
  </si>
  <si>
    <t xml:space="preserve">2026-06-25</t>
  </si>
  <si>
    <t xml:space="preserve">FreshCart</t>
  </si>
  <si>
    <t xml:space="preserve">Dhaval</t>
  </si>
  <si>
    <t xml:space="preserve">2026-05-26</t>
  </si>
  <si>
    <t xml:space="preserve">Dhaval promised to call Ananya early the next week. The call never happened.</t>
  </si>
  <si>
    <t xml:space="preserve">I'll call you early next week to set things up.</t>
  </si>
  <si>
    <t xml:space="preserve">2026-05-18_freshcart_referral_followup</t>
  </si>
  <si>
    <t xml:space="preserve">2026-05-20</t>
  </si>
  <si>
    <t xml:space="preserve">AgroLink</t>
  </si>
  <si>
    <t xml:space="preserve">2026-07-10</t>
  </si>
  <si>
    <t xml:space="preserve">Proposal wanted before 10 July (today). Harpreet on leave from 14 July.</t>
  </si>
  <si>
    <t xml:space="preserve">wants proposal before 10 July, he goes on leave 14th</t>
  </si>
  <si>
    <t xml:space="preserve">2026-07-01_agrolink_budget_call</t>
  </si>
  <si>
    <t xml:space="preserve">(blank)</t>
  </si>
  <si>
    <t xml:space="preserve">CloudNine SaaS</t>
  </si>
  <si>
    <t xml:space="preserve">Karandeep</t>
  </si>
  <si>
    <t xml:space="preserve">2026-06-24</t>
  </si>
  <si>
    <t xml:space="preserve">Karandeep promised two reference names 'in a day or two'. Never sent.</t>
  </si>
  <si>
    <t xml:space="preserve">will revert with names in a day or two</t>
  </si>
  <si>
    <t xml:space="preserve">2026-06-21_cloudnine_rates_references</t>
  </si>
  <si>
    <t xml:space="preserve">2026-06-22</t>
  </si>
  <si>
    <t xml:space="preserve">GlobalMart</t>
  </si>
  <si>
    <t xml:space="preserve">2026-07-03</t>
  </si>
  <si>
    <t xml:space="preserve">Neha asks us to choose: trim analytics to Phase 2, or full scope at a lower figure (number is ~20% over budget).</t>
  </si>
  <si>
    <t xml:space="preserve">Two options from our side: trim the analytics module to Phase 2, or hold the full scope at a lower figure. Which works better for you?</t>
  </si>
  <si>
    <t xml:space="preserve">2026-06-24_globalmart_pricing</t>
  </si>
  <si>
    <t xml:space="preserve">2026-05-19</t>
  </si>
  <si>
    <t xml:space="preserve">Harbor &amp; Finch Advisory</t>
  </si>
  <si>
    <t xml:space="preserve">2026-07-11</t>
  </si>
  <si>
    <t xml:space="preserve">No</t>
  </si>
  <si>
    <t xml:space="preserve">David asked for a call in the next couple of weeks. Unanswered.</t>
  </si>
  <si>
    <t xml:space="preserve">Do you have time in the next couple of weeks?</t>
  </si>
  <si>
    <t xml:space="preserve">2026-06-27_harborfinch_referral_intro</t>
  </si>
  <si>
    <t xml:space="preserve">ShopSwift</t>
  </si>
  <si>
    <t xml:space="preserve">2026-07-15</t>
  </si>
  <si>
    <t xml:space="preserve">Elena needs a statement of work by 15 July or budget slips a quarter.</t>
  </si>
  <si>
    <t xml:space="preserve">What I need from you: a statement of work by 15 July</t>
  </si>
  <si>
    <t xml:space="preserve">2026-06-29_shopswift_budget_confirmed</t>
  </si>
  <si>
    <t xml:space="preserve">2026-06-28</t>
  </si>
  <si>
    <t xml:space="preserve">VoltEnergy</t>
  </si>
  <si>
    <t xml:space="preserve">Marcus asked for a 3-year TCO comparison 'this week'. Unanswered.</t>
  </si>
  <si>
    <t xml:space="preserve">That TCO comparison would actually help a lot — board asks for 3-year numbers. Can you send it this week?</t>
  </si>
  <si>
    <t xml:space="preserve">2026-06-15_voltenergy_competitor</t>
  </si>
  <si>
    <t xml:space="preserve">2026-06-17</t>
  </si>
  <si>
    <t xml:space="preserve">HealthFirst Clinics</t>
  </si>
  <si>
    <t xml:space="preserve">P2</t>
  </si>
  <si>
    <t xml:space="preserve">2026-07-13</t>
  </si>
  <si>
    <t xml:space="preserve">Board decision on the patient portal is on 14 July. Check in with Anita before it so she can champion the phased pricing.</t>
  </si>
  <si>
    <t xml:space="preserve">now scheduled for 14 July</t>
  </si>
  <si>
    <t xml:space="preserve">2026-04-20_healthfirst_board_update</t>
  </si>
  <si>
    <t xml:space="preserve">2026-04-22</t>
  </si>
  <si>
    <t xml:space="preserve">Meridian Healthcare</t>
  </si>
  <si>
    <t xml:space="preserve">IT director has two questions on the proposal: HL7 support, and whether the 14 weeks include clinician UAT. Unanswered.</t>
  </si>
  <si>
    <t xml:space="preserve">Two questions from our IT director before we can move ahead:</t>
  </si>
  <si>
    <t xml:space="preserve">2026-06-16_meridian_proposal_questions</t>
  </si>
  <si>
    <t xml:space="preserve">2026-06-15</t>
  </si>
  <si>
    <t xml:space="preserve">Acme Retail Group</t>
  </si>
  <si>
    <t xml:space="preserve">Dhaval promised a scope note for automating the monthly board pack 'this week' (Ayush copied). Not sent.</t>
  </si>
  <si>
    <t xml:space="preserve">we'll send you a short scope note this week</t>
  </si>
  <si>
    <t xml:space="preserve">2026-06-18_acme_retail_monthly_reports</t>
  </si>
  <si>
    <t xml:space="preserve">Won</t>
  </si>
  <si>
    <t xml:space="preserve">2026-02-20</t>
  </si>
  <si>
    <t xml:space="preserve">Northwind Logistics</t>
  </si>
  <si>
    <t xml:space="preserve">2026-06-19</t>
  </si>
  <si>
    <t xml:space="preserve">Dhaval promised sample dashboard concepts 'next week'. Not sent.</t>
  </si>
  <si>
    <t xml:space="preserve">Let me send you a few sample dashboard concepts next week to react to.</t>
  </si>
  <si>
    <t xml:space="preserve">2026-06-11_northwind_crosssell</t>
  </si>
  <si>
    <t xml:space="preserve">2026-01-10</t>
  </si>
  <si>
    <t xml:space="preserve">Sunrise Foods</t>
  </si>
  <si>
    <t xml:space="preserve">Dhaval said he'd set up a call after travelling. No call scheduled.</t>
  </si>
  <si>
    <t xml:space="preserve">let me set up a call when I'm back.</t>
  </si>
  <si>
    <t xml:space="preserve">2026-06-10_sunrise_foods_reactivation</t>
  </si>
  <si>
    <t xml:space="preserve">2025-10-30</t>
  </si>
  <si>
    <t xml:space="preserve">Kestrel Logistics</t>
  </si>
  <si>
    <t xml:space="preserve">Karandeep said he'd reach out to Ishaan this week. Not done.</t>
  </si>
  <si>
    <t xml:space="preserve">Will ping him this week.</t>
  </si>
  <si>
    <t xml:space="preserve">2026-07-07_slack_advisory_referral</t>
  </si>
  <si>
    <t xml:space="preserve">Ridgeline Foods</t>
  </si>
  <si>
    <t xml:space="preserve">Karandeep replied he'd get back with next steps shortly. Nothing sent yet.</t>
  </si>
  <si>
    <t xml:space="preserve">Will get back with next steps shortly.</t>
  </si>
  <si>
    <t xml:space="preserve">2026-07-09_ridgeline_whatsapp</t>
  </si>
  <si>
    <t xml:space="preserve">ClearPath Insurance</t>
  </si>
  <si>
    <t xml:space="preserve">Deepa asks whether AtliQ is still interested and whether the 40k estimate holds. Unanswered.</t>
  </si>
  <si>
    <t xml:space="preserve">Is AtliQ still interested, and does the 40k estimate still hold?</t>
  </si>
  <si>
    <t xml:space="preserve">2026-06-09_clearpath_budget_unfrozen</t>
  </si>
  <si>
    <t xml:space="preserve">Lost</t>
  </si>
  <si>
    <t xml:space="preserve">2025-12-02</t>
  </si>
  <si>
    <t xml:space="preserve">Nimbus Lending</t>
  </si>
  <si>
    <t xml:space="preserve">2026-07-17</t>
  </si>
  <si>
    <t xml:space="preserve">Rhea wants a call before her budget conversations the week of 20 July. Unanswered.</t>
  </si>
  <si>
    <t xml:space="preserve">I have budget conversations happening the week of 20 July, so a call before then would be ideal.</t>
  </si>
  <si>
    <t xml:space="preserve">2026-07-05_nimbus_lending_intro</t>
  </si>
  <si>
    <t xml:space="preserve">Kaveri Textiles</t>
  </si>
  <si>
    <t xml:space="preserve">Jay</t>
  </si>
  <si>
    <t xml:space="preserve">Revised 2-plant quote requested by 15 July; budget flexibility signalled.</t>
  </si>
  <si>
    <t xml:space="preserve">Subbu asked for revised quote by 15 July.</t>
  </si>
  <si>
    <t xml:space="preserve">2026-07-08_kaveri_demo_round2</t>
  </si>
  <si>
    <t xml:space="preserve">2026-01-08</t>
  </si>
  <si>
    <t xml:space="preserve">Trustline NBFC</t>
  </si>
  <si>
    <t xml:space="preserve">Dhaval owes the quarterly billing schedule annex by 13 July; signature targeted 20 July.</t>
  </si>
  <si>
    <t xml:space="preserve">Dhaval to send the quarterly billing schedule annex by 13 July.</t>
  </si>
  <si>
    <t xml:space="preserve">2026-07-09_trustline_readai_summary</t>
  </si>
  <si>
    <t xml:space="preserve">2026-04-10</t>
  </si>
  <si>
    <t xml:space="preserve">Zenlytics</t>
  </si>
  <si>
    <t xml:space="preserve">2026-06-05</t>
  </si>
  <si>
    <t xml:space="preserve">Bhavin confirmed Wed 3pm and promised a calendar invite. No invite was sent.</t>
  </si>
  <si>
    <t xml:space="preserve">Wednesday 3pm it is. I'll send a calendar invite shortly.</t>
  </si>
  <si>
    <t xml:space="preserve">2026-06-03_zenlytics_intro_call</t>
  </si>
  <si>
    <t xml:space="preserve">PayTrack</t>
  </si>
  <si>
    <t xml:space="preserve">2026-07-31</t>
  </si>
  <si>
    <t xml:space="preserve">Shreya asked for a merchant-risk one-pager before their August planning cycle.</t>
  </si>
  <si>
    <t xml:space="preserve">if you sent us a one-pager on what a merchant-risk module would look like, I could circulate it before our August planning cycle.</t>
  </si>
  <si>
    <t xml:space="preserve">2026-07-02_paytrack_phase2</t>
  </si>
  <si>
    <t xml:space="preserve">2025-12-18</t>
  </si>
  <si>
    <t xml:space="preserve">Quantia Analytics</t>
  </si>
  <si>
    <t xml:space="preserve">2026-06-30</t>
  </si>
  <si>
    <t xml:space="preserve">Lost on timing, not fit. Client asked us to check back around Q2 2026 (after acquisition closes).</t>
  </si>
  <si>
    <t xml:space="preserve">Please do check back with us around then. I mean that.</t>
  </si>
  <si>
    <t xml:space="preserve">2025-09-30_quantia_lost_deal</t>
  </si>
  <si>
    <t xml:space="preserve">2025-09-30</t>
  </si>
  <si>
    <t xml:space="preserve">BlueOrchid Hotels</t>
  </si>
  <si>
    <t xml:space="preserve">Jay promised an approach note for review analytics across 12 properties; client asked about pilot cost. Blocked: email missing.</t>
  </si>
  <si>
    <t xml:space="preserve">said I'd send an approach note</t>
  </si>
  <si>
    <t xml:space="preserve">2026-06-19_blueorchid_call</t>
  </si>
  <si>
    <t xml:space="preserve">New</t>
  </si>
  <si>
    <t xml:space="preserve">ByteBridge</t>
  </si>
  <si>
    <t xml:space="preserve">2026-05-15</t>
  </si>
  <si>
    <t xml:space="preserve">Karandeep promised two case studies plus a reference by Friday 15 May. Nothing sent.</t>
  </si>
  <si>
    <t xml:space="preserve">I'll send both, plus a reference, by Friday.</t>
  </si>
  <si>
    <t xml:space="preserve">2026-05-10_bytebridge_competitor</t>
  </si>
  <si>
    <t xml:space="preserve">2026-05-12</t>
  </si>
  <si>
    <t xml:space="preserve">MedTrack Labs</t>
  </si>
  <si>
    <t xml:space="preserve">Promised intro deck + healthcare case studies 'this week'. Service interest unclear (lab ops dashboards or LIMS).</t>
  </si>
  <si>
    <t xml:space="preserve">asked for our intro deck + healthcare case studies</t>
  </si>
  <si>
    <t xml:space="preserve">2026-06-13_medtrack_scribble</t>
  </si>
  <si>
    <t xml:space="preserve">EduSpark</t>
  </si>
  <si>
    <t xml:space="preserve">P3</t>
  </si>
  <si>
    <t xml:space="preserve">2026-08-14</t>
  </si>
  <si>
    <t xml:space="preserve">Website enquiry from 25 June never answered; Vikram followed up directly. Admissions spike Aug-Sep, budget closes mid-August.</t>
  </si>
  <si>
    <t xml:space="preserve">I submitted an enquiry through your website on 25 June about an AI assistant for student queries and haven't heard back</t>
  </si>
  <si>
    <t xml:space="preserve">2026-07-08_eduspark_website_enquiry</t>
  </si>
  <si>
    <t xml:space="preserve">Lumino Fitness</t>
  </si>
  <si>
    <t xml:space="preserve">Carlos is waiting for the churn-prediction case study Jay promised at TechSummit.</t>
  </si>
  <si>
    <t xml:space="preserve">You mentioned you'd send over the case study about the member-churn prediction work you did for a fitness chain.</t>
  </si>
  <si>
    <t xml:space="preserve">2026-06-20_lumino_fitness_case_study</t>
  </si>
  <si>
    <t xml:space="preserve">PixelWorks Agency</t>
  </si>
  <si>
    <t xml:space="preserve">Tara asked who the right person to speak with is. Unanswered.</t>
  </si>
  <si>
    <t xml:space="preserve">Who's the right person to speak with?</t>
  </si>
  <si>
    <t xml:space="preserve">2026-06-29_pixelworks_partnership</t>
  </si>
  <si>
    <t xml:space="preserve">LoopMart</t>
  </si>
  <si>
    <t xml:space="preserve">Sania is fine with ~20k if phased; wants a written proposal by end of July.</t>
  </si>
  <si>
    <t xml:space="preserve">she wants a written proposal by end of July</t>
  </si>
  <si>
    <t xml:space="preserve">2026-07-10_karandeep_voice_memo</t>
  </si>
  <si>
    <t xml:space="preserve">SmartServe Hospitality</t>
  </si>
  <si>
    <t xml:space="preserve">2026-04-15</t>
  </si>
  <si>
    <t xml:space="preserve">Jay owed Arvind a reference call with a past client. Never arranged; account silent since 8 Apr.</t>
  </si>
  <si>
    <t xml:space="preserve">Reference call with a past client for Arvind — Jay</t>
  </si>
  <si>
    <t xml:space="preserve">2026-04-05_smartserve_intro_call</t>
  </si>
  <si>
    <t xml:space="preserve">2026-04-08</t>
  </si>
  <si>
    <t xml:space="preserve">GreenGrid Solar</t>
  </si>
  <si>
    <t xml:space="preserve">Proposal due 17 July; Pranav to sanity-check SCADA API feasibility by 14 July.</t>
  </si>
  <si>
    <t xml:space="preserve">Proposal — Jay — by 17 Jul</t>
  </si>
  <si>
    <t xml:space="preserve">2026-07-09_greengrid_discovery</t>
  </si>
  <si>
    <t xml:space="preserve">Vertex Constructions</t>
  </si>
  <si>
    <t xml:space="preserve">2026-02-03</t>
  </si>
  <si>
    <t xml:space="preserve">We said we'd reconnect after Naidu returns from leave on 2 Feb. Never happened.</t>
  </si>
  <si>
    <t xml:space="preserve">No problem — will reconnect in February. Safe travels.</t>
  </si>
  <si>
    <t xml:space="preserve">2026-01-15_vertex_ooo_stall</t>
  </si>
  <si>
    <t xml:space="preserve">2026-01-20</t>
  </si>
  <si>
    <t xml:space="preserve">Summary (formulas over the table above)</t>
  </si>
  <si>
    <t xml:space="preserve">Accounts waiting on AtliQ</t>
  </si>
  <si>
    <t xml:space="preserve">of which P1 (urgent)</t>
  </si>
  <si>
    <t xml:space="preserve">Not in the CRM at all</t>
  </si>
  <si>
    <t xml:space="preserve">Median days waiting</t>
  </si>
  <si>
    <t xml:space="preserve">Waiting 14+ days</t>
  </si>
  <si>
    <t xml:space="preserve">Known deal value on waiting accounts ($)</t>
  </si>
  <si>
    <t xml:space="preserve">CRM records with a next follow-up date (of 40)</t>
  </si>
  <si>
    <t xml:space="preserve">Method: open items extracted from every email, note and channel message with a verbatim quote, then ranked by the CEO's stated rules (urgency 40, value 30, competition 15, relationship 15). 'Known value' counts only values stated in conversations or the CRM. Last row note: the CRM follow-up count is a hardcoded audit of crm_export.csv (all 40 rows blank).</t>
  </si>
  <si>
    <t xml:space="preserve">Other CRM gaps found</t>
  </si>
  <si>
    <t xml:space="preserve">Leads missing from CRM</t>
  </si>
  <si>
    <t xml:space="preserve">Harbor &amp; Finch (referral from FinEdge), Lumino Fitness (TechSummit), PixelWorks (partnership), Nimbus Lending (referral from PayTrack), Ridgeline Foods (WhatsApp), Kestrel Logistics (Slack referral)</t>
  </si>
  <si>
    <t xml:space="preserve">Duplicates</t>
  </si>
  <si>
    <t xml:space="preserve">Meridian: L-1003 (Bhavin) and L-1027 (Jay), same hospital group; awkward booth conversation. GlobalMart: L-1004 and L-1040, same contact.</t>
  </si>
  <si>
    <t xml:space="preserve">Stale status</t>
  </si>
  <si>
    <t xml:space="preserve">Kaveri (L-1007) and ClearPath (L-1015) show Lost but both clients came back; Trustline (L-1032) approved but still 'Proposal Sent'; ShopSwift budget approved, still 'Contacted'.</t>
  </si>
  <si>
    <t xml:space="preserve">Unlogged cross-sells</t>
  </si>
  <si>
    <t xml:space="preserve">Acme (board-pack automation, seasonal forecasting), Northwind (dashboards), Sunrise (portal v2, sales dashboard), GlobalMart (demand forecasting), PayTrack (merchant risk), DataNest (3rd engineer + renewal)</t>
  </si>
  <si>
    <t xml:space="preserve">Missed revisits</t>
  </si>
  <si>
    <t xml:space="preserve">Quantia (asked to check back Q2 2026), Vertex (OOO until 2 Feb, never reconnected)</t>
  </si>
  <si>
    <t xml:space="preserve">Meetings with no notes</t>
  </si>
  <si>
    <t xml:space="preserve">DataNest call on 8 Jul (renewal + Kafka engineer): outcome not captured anywhere a model can see</t>
  </si>
  <si>
    <t xml:space="preserve">Question asked</t>
  </si>
  <si>
    <t xml:space="preserve">What the client said (paraphrased / quoted)</t>
  </si>
  <si>
    <t xml:space="preserve">Product implication</t>
  </si>
  <si>
    <t xml:space="preserve">What is the real problem?</t>
  </si>
  <si>
    <t xml:space="preserve">"My CRM was updated 15 days back and it doesn't capture all the things that have happened in the last 15 days." Leads are not the issue; the CRM is fine otherwise, it just isn't updated.</t>
  </si>
  <si>
    <t xml:space="preserve">Don't build a new CRM. Feed Kaizen; keep its fields.</t>
  </si>
  <si>
    <t xml:space="preserve">Where do calls happen?</t>
  </si>
  <si>
    <t xml:space="preserve">WhatsApp, RingCentral (US dialer), FaceTime: these can't be recorded natively. Teams is preferred and read.ai listens and writes notes. Many calls happen while commuting (EST mornings) or walking.</t>
  </si>
  <si>
    <t xml:space="preserve">Capture must accept call summaries and dictated voice memos, not only email.</t>
  </si>
  <si>
    <t xml:space="preserve">Where do leads come from?</t>
  </si>
  <si>
    <t xml:space="preserve">iMessage (US clients), WhatsApp (Dubai etc.), LinkedIn, Slack Connect with advisors (shared workspaces), forwarded emails and Teams messages from partners.</t>
  </si>
  <si>
    <t xml:space="preserve">Multi-channel ingestion; one account timeline across channels.</t>
  </si>
  <si>
    <t xml:space="preserve">Which fields get updated?</t>
  </si>
  <si>
    <t xml:space="preserve">What has happened so far, deal value (goes up or down), scope or description (rarely, no time), next step, and stage (e.g., in negotiation but CRM says New).</t>
  </si>
  <si>
    <t xml:space="preserve">Propose updates for notes, value, status, next follow-up, last contact.</t>
  </si>
  <si>
    <t xml:space="preserve">Do you want reminders?</t>
  </si>
  <si>
    <t xml:space="preserve">If no reply in 3-4 days he follows up; if the client says 'a week', he follows up on day 9-10. "I'm not particular about how I receive the notifications, as long as I receive them." Right now it's all in his head.</t>
  </si>
  <si>
    <t xml:space="preserve">Follow-up dates from rules: stated date + 2-3 days, or 3-4 days of silence. Daily brief.</t>
  </si>
  <si>
    <t xml:space="preserve">Why don't daily updates stick?</t>
  </si>
  <si>
    <t xml:space="preserve">Schedule: 3 random meeting requests a day; back from vacation with 3-4 people waiting. "Sometimes I see a mail from a client... I'll get back to this in an hour or two, and I don't ever do that."</t>
  </si>
  <si>
    <t xml:space="preserve">Zero-entry design: the system must do the remembering; humans only approve.</t>
  </si>
  <si>
    <t xml:space="preserve">How do you prioritise?</t>
  </si>
  <si>
    <t xml:space="preserve">"Cost, urgency, and the competition I'm feeling." Urgent start beats a bigger later deal unless the later one is much bigger ($200k vs $30k). Being the only vendor means book it fast. If rivals bid far lower, he loses interest. Existing clients go to whoever has the relationship.</t>
  </si>
  <si>
    <t xml:space="preserve">Deterministic score: urgency 40, value 30, competition 15, relationship 15. Route existing clients to the owner. Show the breakdown.</t>
  </si>
  <si>
    <t xml:space="preserve">North Star?</t>
  </si>
  <si>
    <t xml:space="preserve">"No client should ever wait for a reply" and increase revenue and number of deals closed. Think business impact, not tool metrics.</t>
  </si>
  <si>
    <t xml:space="preserve">North Star: % of client asks and promises closed within 2 business days; tied to win rate and revenue from known pipeline.</t>
  </si>
  <si>
    <t xml:space="preserve">Who uses it?</t>
  </si>
  <si>
    <t xml:space="preserve">"Right now it is for me personally", but two salespeople (senior and junior) and the PM Ayush also help log things.</t>
  </si>
  <si>
    <t xml:space="preserve">Primary: founder-sellers. Secondary: Jay, Ayush. Owner filter.</t>
  </si>
  <si>
    <t xml:space="preserve">Is the existing CRM the problem?</t>
  </si>
  <si>
    <t xml:space="preserve">In-house 'Kaizen': simpler than big CRMs. "Other than that CRM is good, the only thing is it's not being updated. It has stale data only."</t>
  </si>
  <si>
    <t xml:space="preserve">Integrate via export or API; no CRM replacement in scope.</t>
  </si>
  <si>
    <t xml:space="preserve">Sources: Office Hours, Client Meeting 1 and 2 (VTT transcripts); internal meeting notes 2 Jul and 7 Jul 2026.</t>
  </si>
</sst>
</file>

<file path=xl/styles.xml><?xml version="1.0" encoding="utf-8"?>
<styleSheet xmlns="http://schemas.openxmlformats.org/spreadsheetml/2006/main">
  <numFmts count="3">
    <numFmt numFmtId="164" formatCode="General"/>
    <numFmt numFmtId="165" formatCode="\$#,##0;&quot;($&quot;#,##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i val="true"/>
      <sz val="10"/>
      <color rgb="FF5D687B"/>
      <name val="Arial"/>
      <family val="0"/>
      <charset val="1"/>
    </font>
    <font>
      <b val="true"/>
      <sz val="12"/>
      <color rgb="FFFFFFFF"/>
      <name val="Arial"/>
      <family val="0"/>
      <charset val="1"/>
    </font>
    <font>
      <b val="true"/>
      <sz val="10"/>
      <color rgb="FF000000"/>
      <name val="Arial"/>
      <family val="0"/>
      <charset val="1"/>
    </font>
    <font>
      <i val="true"/>
      <sz val="10"/>
      <color rgb="FF000000"/>
      <name val="Arial"/>
      <family val="0"/>
      <charset val="1"/>
    </font>
    <font>
      <sz val="10"/>
      <color rgb="FF000000"/>
      <name val="Arial"/>
      <family val="0"/>
      <charset val="1"/>
    </font>
    <font>
      <i val="true"/>
      <sz val="9"/>
      <color rgb="FF5D687B"/>
      <name val="Arial"/>
      <family val="0"/>
      <charset val="1"/>
    </font>
    <font>
      <b val="true"/>
      <sz val="10"/>
      <color rgb="FFFFFFFF"/>
      <name val="Arial"/>
      <family val="0"/>
      <charset val="1"/>
    </font>
  </fonts>
  <fills count="8">
    <fill>
      <patternFill patternType="none"/>
    </fill>
    <fill>
      <patternFill patternType="gray125"/>
    </fill>
    <fill>
      <patternFill patternType="solid">
        <fgColor rgb="FF1F2A44"/>
        <bgColor rgb="FF003366"/>
      </patternFill>
    </fill>
    <fill>
      <patternFill patternType="solid">
        <fgColor rgb="FFE6EBF8"/>
        <bgColor rgb="FFF3F5F8"/>
      </patternFill>
    </fill>
    <fill>
      <patternFill patternType="solid">
        <fgColor rgb="FFF3F5F8"/>
        <bgColor rgb="FFFDECEA"/>
      </patternFill>
    </fill>
    <fill>
      <patternFill patternType="solid">
        <fgColor rgb="FFB42318"/>
        <bgColor rgb="FF993366"/>
      </patternFill>
    </fill>
    <fill>
      <patternFill patternType="solid">
        <fgColor rgb="FF2F4BA8"/>
        <bgColor rgb="FF0066CC"/>
      </patternFill>
    </fill>
    <fill>
      <patternFill patternType="solid">
        <fgColor rgb="FFFDECEA"/>
        <bgColor rgb="FFF3F5F8"/>
      </patternFill>
    </fill>
  </fills>
  <borders count="2">
    <border diagonalUp="false" diagonalDown="false">
      <left/>
      <right/>
      <top/>
      <bottom/>
      <diagonal/>
    </border>
    <border diagonalUp="false" diagonalDown="false">
      <left style="thin">
        <color rgb="FFD0D6E0"/>
      </left>
      <right style="thin">
        <color rgb="FFD0D6E0"/>
      </right>
      <top style="thin">
        <color rgb="FFD0D6E0"/>
      </top>
      <bottom style="thin">
        <color rgb="FFD0D6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5" borderId="0"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2A4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DECE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CEA"/>
      <rgbColor rgb="FFE6EBF8"/>
      <rgbColor rgb="FF660066"/>
      <rgbColor rgb="FFFF8080"/>
      <rgbColor rgb="FF0066CC"/>
      <rgbColor rgb="FFD0D6E0"/>
      <rgbColor rgb="FF000080"/>
      <rgbColor rgb="FFFF00FF"/>
      <rgbColor rgb="FFFFFF00"/>
      <rgbColor rgb="FF00FFFF"/>
      <rgbColor rgb="FF800080"/>
      <rgbColor rgb="FF800000"/>
      <rgbColor rgb="FF008080"/>
      <rgbColor rgb="FF0000FF"/>
      <rgbColor rgb="FF00CCFF"/>
      <rgbColor rgb="FFF3F5F8"/>
      <rgbColor rgb="FFCCFFCC"/>
      <rgbColor rgb="FFFFFF99"/>
      <rgbColor rgb="FF99CCFF"/>
      <rgbColor rgb="FFFF99CC"/>
      <rgbColor rgb="FFCC99FF"/>
      <rgbColor rgb="FFFFCC99"/>
      <rgbColor rgb="FF3366FF"/>
      <rgbColor rgb="FF33CCCC"/>
      <rgbColor rgb="FF99CC00"/>
      <rgbColor rgb="FFFFCC00"/>
      <rgbColor rgb="FFFF9900"/>
      <rgbColor rgb="FFFF6600"/>
      <rgbColor rgb="FF5D687B"/>
      <rgbColor rgb="FF969696"/>
      <rgbColor rgb="FF003366"/>
      <rgbColor rgb="FF339966"/>
      <rgbColor rgb="FF003300"/>
      <rgbColor rgb="FF333300"/>
      <rgbColor rgb="FFB42318"/>
      <rgbColor rgb="FF993366"/>
      <rgbColor rgb="FF2F4BA8"/>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
    <col collapsed="false" customWidth="true" hidden="false" outlineLevel="0" max="4" min="3" style="0" width="62"/>
  </cols>
  <sheetData>
    <row r="1" customFormat="false" ht="19.7" hidden="false" customHeight="false" outlineLevel="0" collapsed="false">
      <c r="A1" s="1" t="s">
        <v>0</v>
      </c>
    </row>
    <row r="2" customFormat="false" ht="15" hidden="false" customHeight="false" outlineLevel="0" collapsed="false">
      <c r="A2" s="2" t="s">
        <v>1</v>
      </c>
    </row>
    <row r="4" customFormat="false" ht="21.75" hidden="false" customHeight="true" outlineLevel="0" collapsed="false">
      <c r="A4" s="3" t="s">
        <v>2</v>
      </c>
      <c r="B4" s="3"/>
      <c r="C4" s="3"/>
      <c r="D4" s="3"/>
    </row>
    <row r="5" customFormat="false" ht="15" hidden="false" customHeight="true" outlineLevel="0" collapsed="false">
      <c r="A5" s="4" t="s">
        <v>3</v>
      </c>
      <c r="B5" s="4"/>
      <c r="C5" s="4"/>
      <c r="D5" s="4"/>
    </row>
    <row r="6" customFormat="false" ht="45.75" hidden="false" customHeight="true" outlineLevel="0" collapsed="false">
      <c r="A6" s="5" t="s">
        <v>4</v>
      </c>
      <c r="B6" s="5"/>
      <c r="C6" s="5"/>
      <c r="D6" s="5"/>
    </row>
    <row r="8" customFormat="false" ht="21.75" hidden="false" customHeight="true" outlineLevel="0" collapsed="false">
      <c r="A8" s="3" t="s">
        <v>5</v>
      </c>
      <c r="B8" s="3"/>
      <c r="C8" s="3"/>
      <c r="D8" s="3"/>
    </row>
    <row r="9" customFormat="false" ht="31.5" hidden="false" customHeight="true" outlineLevel="0" collapsed="false">
      <c r="A9" s="6" t="s">
        <v>6</v>
      </c>
      <c r="B9" s="6"/>
      <c r="C9" s="6"/>
      <c r="D9" s="6"/>
    </row>
    <row r="10" customFormat="false" ht="31.5" hidden="false" customHeight="true" outlineLevel="0" collapsed="false">
      <c r="A10" s="7" t="s">
        <v>7</v>
      </c>
      <c r="B10" s="8" t="n">
        <v>1</v>
      </c>
      <c r="C10" s="9" t="s">
        <v>8</v>
      </c>
      <c r="D10" s="9"/>
    </row>
    <row r="11" customFormat="false" ht="45.75" hidden="false" customHeight="true" outlineLevel="0" collapsed="false">
      <c r="A11" s="7"/>
      <c r="B11" s="8" t="n">
        <v>2</v>
      </c>
      <c r="C11" s="9" t="s">
        <v>9</v>
      </c>
      <c r="D11" s="9"/>
    </row>
    <row r="12" customFormat="false" ht="31.5" hidden="false" customHeight="true" outlineLevel="0" collapsed="false">
      <c r="A12" s="7"/>
      <c r="B12" s="8" t="n">
        <v>3</v>
      </c>
      <c r="C12" s="9" t="s">
        <v>10</v>
      </c>
      <c r="D12" s="9"/>
    </row>
    <row r="13" customFormat="false" ht="18" hidden="false" customHeight="true" outlineLevel="0" collapsed="false">
      <c r="A13" s="7" t="s">
        <v>11</v>
      </c>
      <c r="B13" s="8" t="n">
        <v>1</v>
      </c>
      <c r="C13" s="9" t="s">
        <v>12</v>
      </c>
      <c r="D13" s="9"/>
    </row>
    <row r="14" customFormat="false" ht="18" hidden="false" customHeight="true" outlineLevel="0" collapsed="false">
      <c r="A14" s="7"/>
      <c r="B14" s="8" t="n">
        <v>2</v>
      </c>
      <c r="C14" s="9" t="s">
        <v>13</v>
      </c>
      <c r="D14" s="9"/>
    </row>
    <row r="15" customFormat="false" ht="31.5" hidden="false" customHeight="true" outlineLevel="0" collapsed="false">
      <c r="A15" s="7"/>
      <c r="B15" s="8" t="n">
        <v>3</v>
      </c>
      <c r="C15" s="9" t="s">
        <v>14</v>
      </c>
      <c r="D15" s="9"/>
    </row>
    <row r="16" customFormat="false" ht="31.5" hidden="false" customHeight="true" outlineLevel="0" collapsed="false">
      <c r="A16" s="7" t="s">
        <v>15</v>
      </c>
      <c r="B16" s="8" t="n">
        <v>1</v>
      </c>
      <c r="C16" s="9" t="s">
        <v>16</v>
      </c>
      <c r="D16" s="9"/>
    </row>
    <row r="17" customFormat="false" ht="31.5" hidden="false" customHeight="true" outlineLevel="0" collapsed="false">
      <c r="A17" s="7"/>
      <c r="B17" s="8" t="n">
        <v>2</v>
      </c>
      <c r="C17" s="9" t="s">
        <v>17</v>
      </c>
      <c r="D17" s="9"/>
    </row>
    <row r="18" customFormat="false" ht="31.5" hidden="false" customHeight="true" outlineLevel="0" collapsed="false">
      <c r="A18" s="7"/>
      <c r="B18" s="8" t="n">
        <v>3</v>
      </c>
      <c r="C18" s="9" t="s">
        <v>18</v>
      </c>
      <c r="D18" s="9"/>
    </row>
    <row r="19" customFormat="false" ht="31.5" hidden="false" customHeight="true" outlineLevel="0" collapsed="false">
      <c r="A19" s="7" t="s">
        <v>19</v>
      </c>
      <c r="B19" s="8" t="n">
        <v>1</v>
      </c>
      <c r="C19" s="9" t="s">
        <v>20</v>
      </c>
      <c r="D19" s="9"/>
    </row>
    <row r="20" customFormat="false" ht="31.5" hidden="false" customHeight="true" outlineLevel="0" collapsed="false">
      <c r="A20" s="7"/>
      <c r="B20" s="8" t="n">
        <v>2</v>
      </c>
      <c r="C20" s="9" t="s">
        <v>21</v>
      </c>
      <c r="D20" s="9"/>
    </row>
    <row r="21" customFormat="false" ht="31.5" hidden="false" customHeight="true" outlineLevel="0" collapsed="false">
      <c r="A21" s="7"/>
      <c r="B21" s="8" t="n">
        <v>3</v>
      </c>
      <c r="C21" s="9" t="s">
        <v>22</v>
      </c>
      <c r="D21" s="9"/>
    </row>
    <row r="22" customFormat="false" ht="31.5" hidden="false" customHeight="true" outlineLevel="0" collapsed="false">
      <c r="A22" s="7" t="s">
        <v>23</v>
      </c>
      <c r="B22" s="8" t="n">
        <v>1</v>
      </c>
      <c r="C22" s="9" t="s">
        <v>24</v>
      </c>
      <c r="D22" s="9"/>
    </row>
    <row r="23" customFormat="false" ht="31.5" hidden="false" customHeight="true" outlineLevel="0" collapsed="false">
      <c r="A23" s="7"/>
      <c r="B23" s="8" t="n">
        <v>2</v>
      </c>
      <c r="C23" s="9" t="s">
        <v>25</v>
      </c>
      <c r="D23" s="9"/>
    </row>
    <row r="24" customFormat="false" ht="31.5" hidden="false" customHeight="true" outlineLevel="0" collapsed="false">
      <c r="A24" s="7"/>
      <c r="B24" s="8" t="n">
        <v>3</v>
      </c>
      <c r="C24" s="9" t="s">
        <v>26</v>
      </c>
      <c r="D24" s="9"/>
    </row>
    <row r="26" customFormat="false" ht="21.75" hidden="false" customHeight="true" outlineLevel="0" collapsed="false">
      <c r="A26" s="3" t="s">
        <v>27</v>
      </c>
      <c r="B26" s="3"/>
      <c r="C26" s="3"/>
      <c r="D26" s="3"/>
    </row>
    <row r="27" customFormat="false" ht="31.5" hidden="false" customHeight="true" outlineLevel="0" collapsed="false">
      <c r="A27" s="6" t="s">
        <v>28</v>
      </c>
      <c r="B27" s="6"/>
      <c r="C27" s="6"/>
      <c r="D27" s="6"/>
    </row>
    <row r="28" customFormat="false" ht="45.75" hidden="false" customHeight="true" outlineLevel="0" collapsed="false">
      <c r="A28" s="4" t="s">
        <v>29</v>
      </c>
      <c r="B28" s="4"/>
      <c r="C28" s="9" t="s">
        <v>30</v>
      </c>
      <c r="D28" s="9"/>
    </row>
    <row r="29" customFormat="false" ht="45.75" hidden="false" customHeight="true" outlineLevel="0" collapsed="false">
      <c r="A29" s="4" t="s">
        <v>31</v>
      </c>
      <c r="B29" s="4"/>
      <c r="C29" s="9" t="s">
        <v>32</v>
      </c>
      <c r="D29" s="9"/>
    </row>
    <row r="30" customFormat="false" ht="45.75" hidden="false" customHeight="true" outlineLevel="0" collapsed="false">
      <c r="A30" s="4" t="s">
        <v>33</v>
      </c>
      <c r="B30" s="4"/>
      <c r="C30" s="9" t="s">
        <v>34</v>
      </c>
      <c r="D30" s="9"/>
    </row>
    <row r="31" customFormat="false" ht="45.75" hidden="false" customHeight="true" outlineLevel="0" collapsed="false">
      <c r="A31" s="4" t="s">
        <v>35</v>
      </c>
      <c r="B31" s="4"/>
      <c r="C31" s="9" t="s">
        <v>36</v>
      </c>
      <c r="D31" s="9"/>
    </row>
    <row r="33" customFormat="false" ht="21.75" hidden="false" customHeight="true" outlineLevel="0" collapsed="false">
      <c r="A33" s="3" t="s">
        <v>37</v>
      </c>
      <c r="B33" s="3"/>
      <c r="C33" s="3"/>
      <c r="D33" s="3"/>
    </row>
    <row r="34" customFormat="false" ht="15" hidden="false" customHeight="true" outlineLevel="0" collapsed="false">
      <c r="A34" s="6" t="s">
        <v>38</v>
      </c>
      <c r="B34" s="6"/>
      <c r="C34" s="6"/>
      <c r="D34" s="6"/>
    </row>
    <row r="35" customFormat="false" ht="18" hidden="false" customHeight="true" outlineLevel="0" collapsed="false">
      <c r="A35" s="7" t="s">
        <v>39</v>
      </c>
      <c r="B35" s="7"/>
      <c r="C35" s="8" t="s">
        <v>40</v>
      </c>
      <c r="D35" s="8"/>
    </row>
    <row r="36" customFormat="false" ht="45.75" hidden="false" customHeight="true" outlineLevel="0" collapsed="false">
      <c r="A36" s="10" t="s">
        <v>41</v>
      </c>
      <c r="B36" s="10"/>
      <c r="C36" s="9" t="s">
        <v>42</v>
      </c>
      <c r="D36" s="9"/>
    </row>
    <row r="37" customFormat="false" ht="18" hidden="false" customHeight="true" outlineLevel="0" collapsed="false">
      <c r="A37" s="7" t="s">
        <v>43</v>
      </c>
      <c r="B37" s="7"/>
      <c r="C37" s="8" t="s">
        <v>44</v>
      </c>
      <c r="D37" s="8"/>
    </row>
    <row r="38" customFormat="false" ht="45.75" hidden="false" customHeight="true" outlineLevel="0" collapsed="false">
      <c r="A38" s="10" t="s">
        <v>41</v>
      </c>
      <c r="B38" s="10"/>
      <c r="C38" s="9" t="s">
        <v>45</v>
      </c>
      <c r="D38" s="9"/>
    </row>
    <row r="39" customFormat="false" ht="18" hidden="false" customHeight="true" outlineLevel="0" collapsed="false">
      <c r="A39" s="7" t="s">
        <v>46</v>
      </c>
      <c r="B39" s="7"/>
      <c r="C39" s="8" t="s">
        <v>47</v>
      </c>
      <c r="D39" s="8"/>
    </row>
    <row r="40" customFormat="false" ht="45.75" hidden="false" customHeight="true" outlineLevel="0" collapsed="false">
      <c r="A40" s="10" t="s">
        <v>41</v>
      </c>
      <c r="B40" s="10"/>
      <c r="C40" s="9" t="s">
        <v>48</v>
      </c>
      <c r="D40" s="9"/>
    </row>
    <row r="41" customFormat="false" ht="18" hidden="false" customHeight="true" outlineLevel="0" collapsed="false">
      <c r="A41" s="7" t="s">
        <v>49</v>
      </c>
      <c r="B41" s="7"/>
      <c r="C41" s="8" t="s">
        <v>50</v>
      </c>
      <c r="D41" s="8"/>
    </row>
    <row r="42" customFormat="false" ht="45.75" hidden="false" customHeight="true" outlineLevel="0" collapsed="false">
      <c r="A42" s="10" t="s">
        <v>41</v>
      </c>
      <c r="B42" s="10"/>
      <c r="C42" s="9" t="s">
        <v>51</v>
      </c>
      <c r="D42" s="9"/>
    </row>
    <row r="43" customFormat="false" ht="18" hidden="false" customHeight="true" outlineLevel="0" collapsed="false">
      <c r="A43" s="7" t="s">
        <v>52</v>
      </c>
      <c r="B43" s="7"/>
      <c r="C43" s="8" t="s">
        <v>53</v>
      </c>
      <c r="D43" s="8"/>
    </row>
    <row r="44" customFormat="false" ht="45.75" hidden="false" customHeight="true" outlineLevel="0" collapsed="false">
      <c r="A44" s="10" t="s">
        <v>41</v>
      </c>
      <c r="B44" s="10"/>
      <c r="C44" s="9" t="s">
        <v>54</v>
      </c>
      <c r="D44" s="9"/>
    </row>
    <row r="46" customFormat="false" ht="21.75" hidden="false" customHeight="true" outlineLevel="0" collapsed="false">
      <c r="A46" s="11" t="s">
        <v>55</v>
      </c>
      <c r="B46" s="11"/>
      <c r="C46" s="11"/>
      <c r="D46" s="11"/>
    </row>
    <row r="47" customFormat="false" ht="73.5" hidden="false" customHeight="true" outlineLevel="0" collapsed="false">
      <c r="A47" s="8" t="s">
        <v>56</v>
      </c>
      <c r="B47" s="8"/>
      <c r="C47" s="8"/>
      <c r="D47" s="8"/>
    </row>
    <row r="49" customFormat="false" ht="21.75" hidden="false" customHeight="true" outlineLevel="0" collapsed="false">
      <c r="A49" s="12" t="s">
        <v>57</v>
      </c>
      <c r="B49" s="12"/>
      <c r="C49" s="12"/>
      <c r="D49" s="12"/>
    </row>
    <row r="50" customFormat="false" ht="171.75" hidden="false" customHeight="true" outlineLevel="0" collapsed="false">
      <c r="A50" s="9" t="s">
        <v>58</v>
      </c>
      <c r="B50" s="9"/>
      <c r="C50" s="9"/>
      <c r="D50" s="9"/>
    </row>
    <row r="52" customFormat="false" ht="15" hidden="false" customHeight="false" outlineLevel="0" collapsed="false">
      <c r="A52" s="13" t="s">
        <v>59</v>
      </c>
    </row>
  </sheetData>
  <mergeCells count="61">
    <mergeCell ref="A4:D4"/>
    <mergeCell ref="A5:D5"/>
    <mergeCell ref="A6:D6"/>
    <mergeCell ref="A8:D8"/>
    <mergeCell ref="A9:D9"/>
    <mergeCell ref="A10:A12"/>
    <mergeCell ref="C10:D10"/>
    <mergeCell ref="C11:D11"/>
    <mergeCell ref="C12:D12"/>
    <mergeCell ref="A13:A15"/>
    <mergeCell ref="C13:D13"/>
    <mergeCell ref="C14:D14"/>
    <mergeCell ref="C15:D15"/>
    <mergeCell ref="A16:A18"/>
    <mergeCell ref="C16:D16"/>
    <mergeCell ref="C17:D17"/>
    <mergeCell ref="C18:D18"/>
    <mergeCell ref="A19:A21"/>
    <mergeCell ref="C19:D19"/>
    <mergeCell ref="C20:D20"/>
    <mergeCell ref="C21:D21"/>
    <mergeCell ref="A22:A24"/>
    <mergeCell ref="C22:D22"/>
    <mergeCell ref="C23:D23"/>
    <mergeCell ref="C24:D24"/>
    <mergeCell ref="A26:D26"/>
    <mergeCell ref="A27:D27"/>
    <mergeCell ref="A28:B28"/>
    <mergeCell ref="C28:D28"/>
    <mergeCell ref="A29:B29"/>
    <mergeCell ref="C29:D29"/>
    <mergeCell ref="A30:B30"/>
    <mergeCell ref="C30:D30"/>
    <mergeCell ref="A31:B31"/>
    <mergeCell ref="C31:D31"/>
    <mergeCell ref="A33:D33"/>
    <mergeCell ref="A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6:D46"/>
    <mergeCell ref="A47:D47"/>
    <mergeCell ref="A49:D49"/>
    <mergeCell ref="A50:D5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1"/>
    <col collapsed="false" customWidth="true" hidden="false" outlineLevel="0" max="4" min="4" style="0" width="8"/>
    <col collapsed="false" customWidth="true" hidden="false" outlineLevel="0" max="5" min="5" style="0" width="7"/>
    <col collapsed="false" customWidth="true" hidden="false" outlineLevel="0" max="6" min="6" style="0" width="9"/>
    <col collapsed="false" customWidth="true" hidden="false" outlineLevel="0" max="7" min="7" style="0" width="11"/>
    <col collapsed="false" customWidth="true" hidden="false" outlineLevel="0" max="8" min="8" style="0" width="12"/>
    <col collapsed="false" customWidth="true" hidden="false" outlineLevel="0" max="10" min="9" style="0" width="8"/>
    <col collapsed="false" customWidth="true" hidden="false" outlineLevel="0" max="12" min="11" style="0" width="52"/>
    <col collapsed="false" customWidth="true" hidden="false" outlineLevel="0" max="13" min="13" style="0" width="36"/>
    <col collapsed="false" customWidth="true" hidden="false" outlineLevel="0" max="14" min="14" style="0" width="13"/>
    <col collapsed="false" customWidth="true" hidden="false" outlineLevel="0" max="15" min="15" style="0" width="12"/>
  </cols>
  <sheetData>
    <row r="1" customFormat="false" ht="35.05" hidden="false" customHeight="false" outlineLevel="0" collapsed="false">
      <c r="A1" s="14" t="s">
        <v>60</v>
      </c>
      <c r="B1" s="14" t="s">
        <v>61</v>
      </c>
      <c r="C1" s="14" t="s">
        <v>62</v>
      </c>
      <c r="D1" s="14" t="s">
        <v>63</v>
      </c>
      <c r="E1" s="14" t="s">
        <v>64</v>
      </c>
      <c r="F1" s="14" t="s">
        <v>65</v>
      </c>
      <c r="G1" s="14" t="s">
        <v>66</v>
      </c>
      <c r="H1" s="14" t="s">
        <v>67</v>
      </c>
      <c r="I1" s="14" t="s">
        <v>68</v>
      </c>
      <c r="J1" s="14" t="s">
        <v>69</v>
      </c>
      <c r="K1" s="14" t="s">
        <v>70</v>
      </c>
      <c r="L1" s="14" t="s">
        <v>71</v>
      </c>
      <c r="M1" s="14" t="s">
        <v>72</v>
      </c>
      <c r="N1" s="14" t="s">
        <v>73</v>
      </c>
      <c r="O1" s="14" t="s">
        <v>74</v>
      </c>
    </row>
    <row r="2" customFormat="false" ht="43.5" hidden="false" customHeight="true" outlineLevel="0" collapsed="false">
      <c r="A2" s="9" t="n">
        <v>1</v>
      </c>
      <c r="B2" s="9" t="s">
        <v>75</v>
      </c>
      <c r="C2" s="9" t="s">
        <v>76</v>
      </c>
      <c r="D2" s="15" t="s">
        <v>77</v>
      </c>
      <c r="E2" s="9" t="n">
        <v>84</v>
      </c>
      <c r="F2" s="9" t="n">
        <v>21</v>
      </c>
      <c r="G2" s="9" t="s">
        <v>78</v>
      </c>
      <c r="H2" s="16" t="n">
        <v>95000</v>
      </c>
      <c r="I2" s="9" t="s">
        <v>79</v>
      </c>
      <c r="J2" s="9" t="n">
        <v>1</v>
      </c>
      <c r="K2" s="9" t="s">
        <v>80</v>
      </c>
      <c r="L2" s="9" t="s">
        <v>81</v>
      </c>
      <c r="M2" s="9" t="s">
        <v>82</v>
      </c>
      <c r="N2" s="9" t="s">
        <v>83</v>
      </c>
      <c r="O2" s="9" t="s">
        <v>84</v>
      </c>
    </row>
    <row r="3" customFormat="false" ht="43.5" hidden="false" customHeight="true" outlineLevel="0" collapsed="false">
      <c r="A3" s="9" t="n">
        <v>2</v>
      </c>
      <c r="B3" s="9" t="s">
        <v>85</v>
      </c>
      <c r="C3" s="9" t="s">
        <v>76</v>
      </c>
      <c r="D3" s="15" t="s">
        <v>77</v>
      </c>
      <c r="E3" s="9" t="n">
        <v>78</v>
      </c>
      <c r="F3" s="9" t="n">
        <v>15</v>
      </c>
      <c r="G3" s="9" t="s">
        <v>86</v>
      </c>
      <c r="H3" s="16" t="n">
        <v>80000</v>
      </c>
      <c r="I3" s="9" t="s">
        <v>79</v>
      </c>
      <c r="J3" s="9" t="n">
        <v>4</v>
      </c>
      <c r="K3" s="9" t="s">
        <v>87</v>
      </c>
      <c r="L3" s="9" t="s">
        <v>88</v>
      </c>
      <c r="M3" s="9" t="s">
        <v>89</v>
      </c>
      <c r="N3" s="9" t="s">
        <v>90</v>
      </c>
      <c r="O3" s="9" t="s">
        <v>91</v>
      </c>
    </row>
    <row r="4" customFormat="false" ht="43.5" hidden="false" customHeight="true" outlineLevel="0" collapsed="false">
      <c r="A4" s="9" t="n">
        <v>3</v>
      </c>
      <c r="B4" s="9" t="s">
        <v>92</v>
      </c>
      <c r="C4" s="9" t="s">
        <v>93</v>
      </c>
      <c r="D4" s="15" t="s">
        <v>77</v>
      </c>
      <c r="E4" s="9" t="n">
        <v>72</v>
      </c>
      <c r="F4" s="9" t="n">
        <v>51</v>
      </c>
      <c r="G4" s="9" t="s">
        <v>94</v>
      </c>
      <c r="H4" s="16"/>
      <c r="I4" s="9" t="s">
        <v>79</v>
      </c>
      <c r="J4" s="9" t="n">
        <v>2</v>
      </c>
      <c r="K4" s="9" t="s">
        <v>95</v>
      </c>
      <c r="L4" s="9" t="s">
        <v>96</v>
      </c>
      <c r="M4" s="9" t="s">
        <v>97</v>
      </c>
      <c r="N4" s="9" t="s">
        <v>90</v>
      </c>
      <c r="O4" s="9" t="s">
        <v>98</v>
      </c>
    </row>
    <row r="5" customFormat="false" ht="43.5" hidden="false" customHeight="true" outlineLevel="0" collapsed="false">
      <c r="A5" s="9" t="n">
        <v>4</v>
      </c>
      <c r="B5" s="9" t="s">
        <v>99</v>
      </c>
      <c r="C5" s="9" t="s">
        <v>93</v>
      </c>
      <c r="D5" s="15" t="s">
        <v>77</v>
      </c>
      <c r="E5" s="9" t="n">
        <v>67</v>
      </c>
      <c r="F5" s="9" t="n">
        <v>9</v>
      </c>
      <c r="G5" s="9" t="s">
        <v>100</v>
      </c>
      <c r="H5" s="16" t="n">
        <v>37500</v>
      </c>
      <c r="I5" s="9" t="s">
        <v>79</v>
      </c>
      <c r="J5" s="9" t="n">
        <v>1</v>
      </c>
      <c r="K5" s="9" t="s">
        <v>101</v>
      </c>
      <c r="L5" s="9" t="s">
        <v>102</v>
      </c>
      <c r="M5" s="9" t="s">
        <v>103</v>
      </c>
      <c r="N5" s="9" t="s">
        <v>104</v>
      </c>
      <c r="O5" s="9" t="s">
        <v>104</v>
      </c>
    </row>
    <row r="6" customFormat="false" ht="43.5" hidden="false" customHeight="true" outlineLevel="0" collapsed="false">
      <c r="A6" s="9" t="n">
        <v>5</v>
      </c>
      <c r="B6" s="9" t="s">
        <v>105</v>
      </c>
      <c r="C6" s="9" t="s">
        <v>106</v>
      </c>
      <c r="D6" s="15" t="s">
        <v>77</v>
      </c>
      <c r="E6" s="9" t="n">
        <v>67</v>
      </c>
      <c r="F6" s="9" t="n">
        <v>18</v>
      </c>
      <c r="G6" s="9" t="s">
        <v>107</v>
      </c>
      <c r="H6" s="16"/>
      <c r="I6" s="9" t="s">
        <v>79</v>
      </c>
      <c r="J6" s="9" t="n">
        <v>2</v>
      </c>
      <c r="K6" s="9" t="s">
        <v>108</v>
      </c>
      <c r="L6" s="9" t="s">
        <v>109</v>
      </c>
      <c r="M6" s="9" t="s">
        <v>110</v>
      </c>
      <c r="N6" s="9" t="s">
        <v>90</v>
      </c>
      <c r="O6" s="9" t="s">
        <v>111</v>
      </c>
    </row>
    <row r="7" customFormat="false" ht="43.5" hidden="false" customHeight="true" outlineLevel="0" collapsed="false">
      <c r="A7" s="9" t="n">
        <v>6</v>
      </c>
      <c r="B7" s="9" t="s">
        <v>112</v>
      </c>
      <c r="C7" s="9" t="s">
        <v>106</v>
      </c>
      <c r="D7" s="15" t="s">
        <v>77</v>
      </c>
      <c r="E7" s="9" t="n">
        <v>67</v>
      </c>
      <c r="F7" s="9" t="n">
        <v>16</v>
      </c>
      <c r="G7" s="9" t="s">
        <v>113</v>
      </c>
      <c r="H7" s="16" t="n">
        <v>62000</v>
      </c>
      <c r="I7" s="9" t="s">
        <v>79</v>
      </c>
      <c r="J7" s="9" t="n">
        <v>2</v>
      </c>
      <c r="K7" s="9" t="s">
        <v>114</v>
      </c>
      <c r="L7" s="9" t="s">
        <v>115</v>
      </c>
      <c r="M7" s="9" t="s">
        <v>116</v>
      </c>
      <c r="N7" s="9" t="s">
        <v>83</v>
      </c>
      <c r="O7" s="9" t="s">
        <v>117</v>
      </c>
    </row>
    <row r="8" customFormat="false" ht="43.5" hidden="false" customHeight="true" outlineLevel="0" collapsed="false">
      <c r="A8" s="9" t="n">
        <v>7</v>
      </c>
      <c r="B8" s="9" t="s">
        <v>118</v>
      </c>
      <c r="C8" s="9" t="s">
        <v>76</v>
      </c>
      <c r="D8" s="15" t="s">
        <v>77</v>
      </c>
      <c r="E8" s="9" t="n">
        <v>67</v>
      </c>
      <c r="F8" s="9" t="n">
        <v>13</v>
      </c>
      <c r="G8" s="9" t="s">
        <v>119</v>
      </c>
      <c r="H8" s="16"/>
      <c r="I8" s="9" t="s">
        <v>120</v>
      </c>
      <c r="J8" s="9" t="n">
        <v>1</v>
      </c>
      <c r="K8" s="9" t="s">
        <v>121</v>
      </c>
      <c r="L8" s="9" t="s">
        <v>122</v>
      </c>
      <c r="M8" s="9" t="s">
        <v>123</v>
      </c>
      <c r="N8" s="9" t="s">
        <v>104</v>
      </c>
      <c r="O8" s="9" t="s">
        <v>104</v>
      </c>
    </row>
    <row r="9" customFormat="false" ht="43.5" hidden="false" customHeight="true" outlineLevel="0" collapsed="false">
      <c r="A9" s="9" t="n">
        <v>8</v>
      </c>
      <c r="B9" s="9" t="s">
        <v>124</v>
      </c>
      <c r="C9" s="9" t="s">
        <v>76</v>
      </c>
      <c r="D9" s="15" t="s">
        <v>77</v>
      </c>
      <c r="E9" s="9" t="n">
        <v>67</v>
      </c>
      <c r="F9" s="9" t="n">
        <v>11</v>
      </c>
      <c r="G9" s="9" t="s">
        <v>125</v>
      </c>
      <c r="H9" s="16" t="n">
        <v>55000</v>
      </c>
      <c r="I9" s="9" t="s">
        <v>79</v>
      </c>
      <c r="J9" s="9" t="n">
        <v>1</v>
      </c>
      <c r="K9" s="9" t="s">
        <v>126</v>
      </c>
      <c r="L9" s="9" t="s">
        <v>127</v>
      </c>
      <c r="M9" s="9" t="s">
        <v>128</v>
      </c>
      <c r="N9" s="9" t="s">
        <v>90</v>
      </c>
      <c r="O9" s="9" t="s">
        <v>129</v>
      </c>
    </row>
    <row r="10" customFormat="false" ht="43.5" hidden="false" customHeight="true" outlineLevel="0" collapsed="false">
      <c r="A10" s="9" t="n">
        <v>9</v>
      </c>
      <c r="B10" s="9" t="s">
        <v>130</v>
      </c>
      <c r="C10" s="9" t="s">
        <v>106</v>
      </c>
      <c r="D10" s="15" t="s">
        <v>77</v>
      </c>
      <c r="E10" s="9" t="n">
        <v>67</v>
      </c>
      <c r="F10" s="9" t="n">
        <v>9</v>
      </c>
      <c r="G10" s="9" t="s">
        <v>113</v>
      </c>
      <c r="H10" s="16" t="n">
        <v>28000</v>
      </c>
      <c r="I10" s="9" t="s">
        <v>79</v>
      </c>
      <c r="J10" s="9" t="n">
        <v>2</v>
      </c>
      <c r="K10" s="9" t="s">
        <v>131</v>
      </c>
      <c r="L10" s="9" t="s">
        <v>132</v>
      </c>
      <c r="M10" s="9" t="s">
        <v>133</v>
      </c>
      <c r="N10" s="9" t="s">
        <v>83</v>
      </c>
      <c r="O10" s="9" t="s">
        <v>134</v>
      </c>
    </row>
    <row r="11" customFormat="false" ht="43.5" hidden="false" customHeight="true" outlineLevel="0" collapsed="false">
      <c r="A11" s="9" t="n">
        <v>10</v>
      </c>
      <c r="B11" s="9" t="s">
        <v>135</v>
      </c>
      <c r="C11" s="9" t="s">
        <v>106</v>
      </c>
      <c r="D11" s="9" t="s">
        <v>136</v>
      </c>
      <c r="E11" s="9" t="n">
        <v>64</v>
      </c>
      <c r="F11" s="9" t="n">
        <v>0</v>
      </c>
      <c r="G11" s="9" t="s">
        <v>137</v>
      </c>
      <c r="H11" s="16" t="n">
        <v>30000</v>
      </c>
      <c r="I11" s="9" t="s">
        <v>79</v>
      </c>
      <c r="J11" s="9" t="n">
        <v>1</v>
      </c>
      <c r="K11" s="9" t="s">
        <v>138</v>
      </c>
      <c r="L11" s="9" t="s">
        <v>139</v>
      </c>
      <c r="M11" s="9" t="s">
        <v>140</v>
      </c>
      <c r="N11" s="9" t="s">
        <v>83</v>
      </c>
      <c r="O11" s="9" t="s">
        <v>141</v>
      </c>
    </row>
    <row r="12" customFormat="false" ht="43.5" hidden="false" customHeight="true" outlineLevel="0" collapsed="false">
      <c r="A12" s="9" t="n">
        <v>11</v>
      </c>
      <c r="B12" s="9" t="s">
        <v>142</v>
      </c>
      <c r="C12" s="9" t="s">
        <v>76</v>
      </c>
      <c r="D12" s="9" t="s">
        <v>136</v>
      </c>
      <c r="E12" s="9" t="n">
        <v>64</v>
      </c>
      <c r="F12" s="9" t="n">
        <v>24</v>
      </c>
      <c r="G12" s="9" t="s">
        <v>125</v>
      </c>
      <c r="H12" s="16" t="n">
        <v>45000</v>
      </c>
      <c r="I12" s="9" t="s">
        <v>79</v>
      </c>
      <c r="J12" s="9" t="n">
        <v>1</v>
      </c>
      <c r="K12" s="9" t="s">
        <v>143</v>
      </c>
      <c r="L12" s="9" t="s">
        <v>144</v>
      </c>
      <c r="M12" s="9" t="s">
        <v>145</v>
      </c>
      <c r="N12" s="9" t="s">
        <v>90</v>
      </c>
      <c r="O12" s="9" t="s">
        <v>146</v>
      </c>
    </row>
    <row r="13" customFormat="false" ht="43.5" hidden="false" customHeight="true" outlineLevel="0" collapsed="false">
      <c r="A13" s="9" t="n">
        <v>12</v>
      </c>
      <c r="B13" s="9" t="s">
        <v>147</v>
      </c>
      <c r="C13" s="9" t="s">
        <v>93</v>
      </c>
      <c r="D13" s="9" t="s">
        <v>136</v>
      </c>
      <c r="E13" s="9" t="n">
        <v>63</v>
      </c>
      <c r="F13" s="9" t="n">
        <v>21</v>
      </c>
      <c r="G13" s="9" t="s">
        <v>78</v>
      </c>
      <c r="H13" s="16"/>
      <c r="I13" s="9" t="s">
        <v>79</v>
      </c>
      <c r="J13" s="9" t="n">
        <v>2</v>
      </c>
      <c r="K13" s="9" t="s">
        <v>148</v>
      </c>
      <c r="L13" s="9" t="s">
        <v>149</v>
      </c>
      <c r="M13" s="9" t="s">
        <v>150</v>
      </c>
      <c r="N13" s="9" t="s">
        <v>151</v>
      </c>
      <c r="O13" s="9" t="s">
        <v>152</v>
      </c>
    </row>
    <row r="14" customFormat="false" ht="43.5" hidden="false" customHeight="true" outlineLevel="0" collapsed="false">
      <c r="A14" s="9" t="n">
        <v>13</v>
      </c>
      <c r="B14" s="9" t="s">
        <v>153</v>
      </c>
      <c r="C14" s="9" t="s">
        <v>93</v>
      </c>
      <c r="D14" s="9" t="s">
        <v>136</v>
      </c>
      <c r="E14" s="9" t="n">
        <v>63</v>
      </c>
      <c r="F14" s="9" t="n">
        <v>27</v>
      </c>
      <c r="G14" s="9" t="s">
        <v>154</v>
      </c>
      <c r="H14" s="16"/>
      <c r="I14" s="9" t="s">
        <v>79</v>
      </c>
      <c r="J14" s="9" t="n">
        <v>1</v>
      </c>
      <c r="K14" s="9" t="s">
        <v>155</v>
      </c>
      <c r="L14" s="9" t="s">
        <v>156</v>
      </c>
      <c r="M14" s="9" t="s">
        <v>157</v>
      </c>
      <c r="N14" s="9" t="s">
        <v>151</v>
      </c>
      <c r="O14" s="9" t="s">
        <v>158</v>
      </c>
    </row>
    <row r="15" customFormat="false" ht="43.5" hidden="false" customHeight="true" outlineLevel="0" collapsed="false">
      <c r="A15" s="9" t="n">
        <v>14</v>
      </c>
      <c r="B15" s="9" t="s">
        <v>159</v>
      </c>
      <c r="C15" s="9" t="s">
        <v>93</v>
      </c>
      <c r="D15" s="9" t="s">
        <v>136</v>
      </c>
      <c r="E15" s="9" t="n">
        <v>63</v>
      </c>
      <c r="F15" s="9" t="n">
        <v>30</v>
      </c>
      <c r="G15" s="9" t="s">
        <v>154</v>
      </c>
      <c r="H15" s="16"/>
      <c r="I15" s="9" t="s">
        <v>79</v>
      </c>
      <c r="J15" s="9" t="n">
        <v>2</v>
      </c>
      <c r="K15" s="9" t="s">
        <v>160</v>
      </c>
      <c r="L15" s="9" t="s">
        <v>161</v>
      </c>
      <c r="M15" s="9" t="s">
        <v>162</v>
      </c>
      <c r="N15" s="9" t="s">
        <v>151</v>
      </c>
      <c r="O15" s="9" t="s">
        <v>163</v>
      </c>
    </row>
    <row r="16" customFormat="false" ht="43.5" hidden="false" customHeight="true" outlineLevel="0" collapsed="false">
      <c r="A16" s="9" t="n">
        <v>15</v>
      </c>
      <c r="B16" s="9" t="s">
        <v>164</v>
      </c>
      <c r="C16" s="9" t="s">
        <v>106</v>
      </c>
      <c r="D16" s="9" t="s">
        <v>136</v>
      </c>
      <c r="E16" s="9" t="n">
        <v>61</v>
      </c>
      <c r="F16" s="9" t="n">
        <v>3</v>
      </c>
      <c r="G16" s="9" t="s">
        <v>100</v>
      </c>
      <c r="H16" s="16"/>
      <c r="I16" s="9" t="s">
        <v>120</v>
      </c>
      <c r="J16" s="9" t="n">
        <v>1</v>
      </c>
      <c r="K16" s="9" t="s">
        <v>165</v>
      </c>
      <c r="L16" s="9" t="s">
        <v>166</v>
      </c>
      <c r="M16" s="9" t="s">
        <v>167</v>
      </c>
      <c r="N16" s="9" t="s">
        <v>104</v>
      </c>
      <c r="O16" s="9" t="s">
        <v>104</v>
      </c>
    </row>
    <row r="17" customFormat="false" ht="43.5" hidden="false" customHeight="true" outlineLevel="0" collapsed="false">
      <c r="A17" s="9" t="n">
        <v>16</v>
      </c>
      <c r="B17" s="9" t="s">
        <v>168</v>
      </c>
      <c r="C17" s="9" t="s">
        <v>106</v>
      </c>
      <c r="D17" s="9" t="s">
        <v>136</v>
      </c>
      <c r="E17" s="9" t="n">
        <v>57</v>
      </c>
      <c r="F17" s="9" t="n">
        <v>1</v>
      </c>
      <c r="G17" s="9" t="s">
        <v>100</v>
      </c>
      <c r="H17" s="16"/>
      <c r="I17" s="9" t="s">
        <v>120</v>
      </c>
      <c r="J17" s="9" t="n">
        <v>2</v>
      </c>
      <c r="K17" s="9" t="s">
        <v>169</v>
      </c>
      <c r="L17" s="9" t="s">
        <v>170</v>
      </c>
      <c r="M17" s="9" t="s">
        <v>171</v>
      </c>
      <c r="N17" s="9" t="s">
        <v>104</v>
      </c>
      <c r="O17" s="9" t="s">
        <v>104</v>
      </c>
    </row>
    <row r="18" customFormat="false" ht="43.5" hidden="false" customHeight="true" outlineLevel="0" collapsed="false">
      <c r="A18" s="9" t="n">
        <v>17</v>
      </c>
      <c r="B18" s="9" t="s">
        <v>172</v>
      </c>
      <c r="C18" s="9" t="s">
        <v>93</v>
      </c>
      <c r="D18" s="9" t="s">
        <v>136</v>
      </c>
      <c r="E18" s="9" t="n">
        <v>55</v>
      </c>
      <c r="F18" s="9" t="n">
        <v>31</v>
      </c>
      <c r="G18" s="9"/>
      <c r="H18" s="16" t="n">
        <v>40000</v>
      </c>
      <c r="I18" s="9" t="s">
        <v>79</v>
      </c>
      <c r="J18" s="9" t="n">
        <v>1</v>
      </c>
      <c r="K18" s="9" t="s">
        <v>173</v>
      </c>
      <c r="L18" s="9" t="s">
        <v>174</v>
      </c>
      <c r="M18" s="9" t="s">
        <v>175</v>
      </c>
      <c r="N18" s="9" t="s">
        <v>176</v>
      </c>
      <c r="O18" s="9" t="s">
        <v>177</v>
      </c>
    </row>
    <row r="19" customFormat="false" ht="43.5" hidden="false" customHeight="true" outlineLevel="0" collapsed="false">
      <c r="A19" s="9" t="n">
        <v>18</v>
      </c>
      <c r="B19" s="9" t="s">
        <v>178</v>
      </c>
      <c r="C19" s="9" t="s">
        <v>76</v>
      </c>
      <c r="D19" s="9" t="s">
        <v>136</v>
      </c>
      <c r="E19" s="9" t="n">
        <v>55</v>
      </c>
      <c r="F19" s="9" t="n">
        <v>4</v>
      </c>
      <c r="G19" s="9" t="s">
        <v>179</v>
      </c>
      <c r="H19" s="16"/>
      <c r="I19" s="9" t="s">
        <v>120</v>
      </c>
      <c r="J19" s="9" t="n">
        <v>1</v>
      </c>
      <c r="K19" s="9" t="s">
        <v>180</v>
      </c>
      <c r="L19" s="9" t="s">
        <v>181</v>
      </c>
      <c r="M19" s="9" t="s">
        <v>182</v>
      </c>
      <c r="N19" s="9" t="s">
        <v>104</v>
      </c>
      <c r="O19" s="9" t="s">
        <v>104</v>
      </c>
    </row>
    <row r="20" customFormat="false" ht="43.5" hidden="false" customHeight="true" outlineLevel="0" collapsed="false">
      <c r="A20" s="9" t="n">
        <v>19</v>
      </c>
      <c r="B20" s="9" t="s">
        <v>183</v>
      </c>
      <c r="C20" s="9" t="s">
        <v>184</v>
      </c>
      <c r="D20" s="9" t="s">
        <v>136</v>
      </c>
      <c r="E20" s="9" t="n">
        <v>54</v>
      </c>
      <c r="F20" s="9" t="n">
        <v>2</v>
      </c>
      <c r="G20" s="9" t="s">
        <v>125</v>
      </c>
      <c r="H20" s="16" t="n">
        <v>15000</v>
      </c>
      <c r="I20" s="9" t="s">
        <v>79</v>
      </c>
      <c r="J20" s="9" t="n">
        <v>1</v>
      </c>
      <c r="K20" s="9" t="s">
        <v>185</v>
      </c>
      <c r="L20" s="9" t="s">
        <v>186</v>
      </c>
      <c r="M20" s="9" t="s">
        <v>187</v>
      </c>
      <c r="N20" s="9" t="s">
        <v>176</v>
      </c>
      <c r="O20" s="9" t="s">
        <v>188</v>
      </c>
    </row>
    <row r="21" customFormat="false" ht="43.5" hidden="false" customHeight="true" outlineLevel="0" collapsed="false">
      <c r="A21" s="9" t="n">
        <v>20</v>
      </c>
      <c r="B21" s="9" t="s">
        <v>189</v>
      </c>
      <c r="C21" s="9" t="s">
        <v>93</v>
      </c>
      <c r="D21" s="9" t="s">
        <v>136</v>
      </c>
      <c r="E21" s="9" t="n">
        <v>52</v>
      </c>
      <c r="F21" s="9" t="n">
        <v>1</v>
      </c>
      <c r="G21" s="9" t="s">
        <v>137</v>
      </c>
      <c r="H21" s="16" t="n">
        <v>48000</v>
      </c>
      <c r="I21" s="9" t="s">
        <v>79</v>
      </c>
      <c r="J21" s="9" t="n">
        <v>1</v>
      </c>
      <c r="K21" s="9" t="s">
        <v>190</v>
      </c>
      <c r="L21" s="9" t="s">
        <v>191</v>
      </c>
      <c r="M21" s="9" t="s">
        <v>192</v>
      </c>
      <c r="N21" s="9" t="s">
        <v>83</v>
      </c>
      <c r="O21" s="9" t="s">
        <v>193</v>
      </c>
    </row>
    <row r="22" customFormat="false" ht="43.5" hidden="false" customHeight="true" outlineLevel="0" collapsed="false">
      <c r="A22" s="9" t="n">
        <v>21</v>
      </c>
      <c r="B22" s="9" t="s">
        <v>194</v>
      </c>
      <c r="C22" s="9" t="s">
        <v>76</v>
      </c>
      <c r="D22" s="9" t="s">
        <v>136</v>
      </c>
      <c r="E22" s="9" t="n">
        <v>52</v>
      </c>
      <c r="F22" s="9" t="n">
        <v>35</v>
      </c>
      <c r="G22" s="9" t="s">
        <v>195</v>
      </c>
      <c r="H22" s="16"/>
      <c r="I22" s="9" t="s">
        <v>79</v>
      </c>
      <c r="J22" s="9" t="n">
        <v>1</v>
      </c>
      <c r="K22" s="9" t="s">
        <v>196</v>
      </c>
      <c r="L22" s="9" t="s">
        <v>197</v>
      </c>
      <c r="M22" s="9" t="s">
        <v>198</v>
      </c>
      <c r="N22" s="9" t="s">
        <v>90</v>
      </c>
      <c r="O22" s="9" t="s">
        <v>195</v>
      </c>
    </row>
    <row r="23" customFormat="false" ht="43.5" hidden="false" customHeight="true" outlineLevel="0" collapsed="false">
      <c r="A23" s="9" t="n">
        <v>22</v>
      </c>
      <c r="B23" s="9" t="s">
        <v>199</v>
      </c>
      <c r="C23" s="9" t="s">
        <v>76</v>
      </c>
      <c r="D23" s="9" t="s">
        <v>136</v>
      </c>
      <c r="E23" s="9" t="n">
        <v>51</v>
      </c>
      <c r="F23" s="9" t="n">
        <v>8</v>
      </c>
      <c r="G23" s="9" t="s">
        <v>200</v>
      </c>
      <c r="H23" s="16"/>
      <c r="I23" s="9" t="s">
        <v>79</v>
      </c>
      <c r="J23" s="9" t="n">
        <v>1</v>
      </c>
      <c r="K23" s="9" t="s">
        <v>201</v>
      </c>
      <c r="L23" s="9" t="s">
        <v>202</v>
      </c>
      <c r="M23" s="9" t="s">
        <v>203</v>
      </c>
      <c r="N23" s="9" t="s">
        <v>151</v>
      </c>
      <c r="O23" s="9" t="s">
        <v>204</v>
      </c>
    </row>
    <row r="24" customFormat="false" ht="43.5" hidden="false" customHeight="true" outlineLevel="0" collapsed="false">
      <c r="A24" s="9" t="n">
        <v>23</v>
      </c>
      <c r="B24" s="9" t="s">
        <v>205</v>
      </c>
      <c r="C24" s="9" t="s">
        <v>76</v>
      </c>
      <c r="D24" s="9" t="s">
        <v>136</v>
      </c>
      <c r="E24" s="9" t="n">
        <v>51</v>
      </c>
      <c r="F24" s="9" t="n">
        <v>10</v>
      </c>
      <c r="G24" s="9" t="s">
        <v>206</v>
      </c>
      <c r="H24" s="16" t="n">
        <v>60000</v>
      </c>
      <c r="I24" s="9" t="s">
        <v>79</v>
      </c>
      <c r="J24" s="9" t="n">
        <v>1</v>
      </c>
      <c r="K24" s="9" t="s">
        <v>207</v>
      </c>
      <c r="L24" s="9" t="s">
        <v>208</v>
      </c>
      <c r="M24" s="9" t="s">
        <v>209</v>
      </c>
      <c r="N24" s="9" t="s">
        <v>176</v>
      </c>
      <c r="O24" s="9" t="s">
        <v>210</v>
      </c>
    </row>
    <row r="25" customFormat="false" ht="43.5" hidden="false" customHeight="true" outlineLevel="0" collapsed="false">
      <c r="A25" s="9" t="n">
        <v>24</v>
      </c>
      <c r="B25" s="9" t="s">
        <v>211</v>
      </c>
      <c r="C25" s="9" t="s">
        <v>184</v>
      </c>
      <c r="D25" s="9" t="s">
        <v>136</v>
      </c>
      <c r="E25" s="9" t="n">
        <v>50</v>
      </c>
      <c r="F25" s="9" t="n">
        <v>21</v>
      </c>
      <c r="G25" s="9" t="s">
        <v>107</v>
      </c>
      <c r="H25" s="16"/>
      <c r="I25" s="9" t="s">
        <v>79</v>
      </c>
      <c r="J25" s="9" t="n">
        <v>1</v>
      </c>
      <c r="K25" s="9" t="s">
        <v>212</v>
      </c>
      <c r="L25" s="9" t="s">
        <v>213</v>
      </c>
      <c r="M25" s="9" t="s">
        <v>214</v>
      </c>
      <c r="N25" s="9" t="s">
        <v>215</v>
      </c>
      <c r="O25" s="9" t="s">
        <v>104</v>
      </c>
    </row>
    <row r="26" customFormat="false" ht="43.5" hidden="false" customHeight="true" outlineLevel="0" collapsed="false">
      <c r="A26" s="9" t="n">
        <v>25</v>
      </c>
      <c r="B26" s="9" t="s">
        <v>216</v>
      </c>
      <c r="C26" s="9" t="s">
        <v>106</v>
      </c>
      <c r="D26" s="9" t="s">
        <v>136</v>
      </c>
      <c r="E26" s="9" t="n">
        <v>50</v>
      </c>
      <c r="F26" s="9" t="n">
        <v>59</v>
      </c>
      <c r="G26" s="9" t="s">
        <v>217</v>
      </c>
      <c r="H26" s="16"/>
      <c r="I26" s="9" t="s">
        <v>79</v>
      </c>
      <c r="J26" s="9" t="n">
        <v>1</v>
      </c>
      <c r="K26" s="9" t="s">
        <v>218</v>
      </c>
      <c r="L26" s="9" t="s">
        <v>219</v>
      </c>
      <c r="M26" s="9" t="s">
        <v>220</v>
      </c>
      <c r="N26" s="9" t="s">
        <v>90</v>
      </c>
      <c r="O26" s="9" t="s">
        <v>221</v>
      </c>
    </row>
    <row r="27" customFormat="false" ht="43.5" hidden="false" customHeight="true" outlineLevel="0" collapsed="false">
      <c r="A27" s="9" t="n">
        <v>26</v>
      </c>
      <c r="B27" s="9" t="s">
        <v>222</v>
      </c>
      <c r="C27" s="9" t="s">
        <v>184</v>
      </c>
      <c r="D27" s="9" t="s">
        <v>136</v>
      </c>
      <c r="E27" s="9" t="n">
        <v>50</v>
      </c>
      <c r="F27" s="9" t="n">
        <v>27</v>
      </c>
      <c r="G27" s="9" t="s">
        <v>154</v>
      </c>
      <c r="H27" s="16"/>
      <c r="I27" s="9" t="s">
        <v>79</v>
      </c>
      <c r="J27" s="9" t="n">
        <v>1</v>
      </c>
      <c r="K27" s="9" t="s">
        <v>223</v>
      </c>
      <c r="L27" s="9" t="s">
        <v>224</v>
      </c>
      <c r="M27" s="9" t="s">
        <v>225</v>
      </c>
      <c r="N27" s="9" t="s">
        <v>215</v>
      </c>
      <c r="O27" s="9" t="s">
        <v>104</v>
      </c>
    </row>
    <row r="28" customFormat="false" ht="43.5" hidden="false" customHeight="true" outlineLevel="0" collapsed="false">
      <c r="A28" s="9" t="n">
        <v>27</v>
      </c>
      <c r="B28" s="9" t="s">
        <v>226</v>
      </c>
      <c r="C28" s="9" t="s">
        <v>184</v>
      </c>
      <c r="D28" s="9" t="s">
        <v>227</v>
      </c>
      <c r="E28" s="9" t="n">
        <v>46</v>
      </c>
      <c r="F28" s="9" t="n">
        <v>15</v>
      </c>
      <c r="G28" s="9" t="s">
        <v>228</v>
      </c>
      <c r="H28" s="16"/>
      <c r="I28" s="9" t="s">
        <v>79</v>
      </c>
      <c r="J28" s="9" t="n">
        <v>1</v>
      </c>
      <c r="K28" s="9" t="s">
        <v>229</v>
      </c>
      <c r="L28" s="9" t="s">
        <v>230</v>
      </c>
      <c r="M28" s="9" t="s">
        <v>231</v>
      </c>
      <c r="N28" s="9" t="s">
        <v>215</v>
      </c>
      <c r="O28" s="9" t="s">
        <v>104</v>
      </c>
    </row>
    <row r="29" customFormat="false" ht="43.5" hidden="false" customHeight="true" outlineLevel="0" collapsed="false">
      <c r="A29" s="9" t="n">
        <v>28</v>
      </c>
      <c r="B29" s="9" t="s">
        <v>232</v>
      </c>
      <c r="C29" s="9" t="s">
        <v>184</v>
      </c>
      <c r="D29" s="9" t="s">
        <v>227</v>
      </c>
      <c r="E29" s="9" t="n">
        <v>44</v>
      </c>
      <c r="F29" s="9" t="n">
        <v>20</v>
      </c>
      <c r="G29" s="9"/>
      <c r="H29" s="16"/>
      <c r="I29" s="9" t="s">
        <v>120</v>
      </c>
      <c r="J29" s="9" t="n">
        <v>1</v>
      </c>
      <c r="K29" s="9" t="s">
        <v>233</v>
      </c>
      <c r="L29" s="9" t="s">
        <v>234</v>
      </c>
      <c r="M29" s="9" t="s">
        <v>235</v>
      </c>
      <c r="N29" s="9" t="s">
        <v>104</v>
      </c>
      <c r="O29" s="9" t="s">
        <v>104</v>
      </c>
    </row>
    <row r="30" customFormat="false" ht="43.5" hidden="false" customHeight="true" outlineLevel="0" collapsed="false">
      <c r="A30" s="9" t="n">
        <v>29</v>
      </c>
      <c r="B30" s="9" t="s">
        <v>236</v>
      </c>
      <c r="C30" s="9" t="s">
        <v>184</v>
      </c>
      <c r="D30" s="9" t="s">
        <v>227</v>
      </c>
      <c r="E30" s="9" t="n">
        <v>40</v>
      </c>
      <c r="F30" s="9" t="n">
        <v>11</v>
      </c>
      <c r="G30" s="9"/>
      <c r="H30" s="16"/>
      <c r="I30" s="9" t="s">
        <v>120</v>
      </c>
      <c r="J30" s="9" t="n">
        <v>1</v>
      </c>
      <c r="K30" s="9" t="s">
        <v>237</v>
      </c>
      <c r="L30" s="9" t="s">
        <v>238</v>
      </c>
      <c r="M30" s="9" t="s">
        <v>239</v>
      </c>
      <c r="N30" s="9" t="s">
        <v>104</v>
      </c>
      <c r="O30" s="9" t="s">
        <v>104</v>
      </c>
    </row>
    <row r="31" customFormat="false" ht="43.5" hidden="false" customHeight="true" outlineLevel="0" collapsed="false">
      <c r="A31" s="9" t="n">
        <v>30</v>
      </c>
      <c r="B31" s="9" t="s">
        <v>240</v>
      </c>
      <c r="C31" s="9" t="s">
        <v>106</v>
      </c>
      <c r="D31" s="9" t="s">
        <v>227</v>
      </c>
      <c r="E31" s="9" t="n">
        <v>36</v>
      </c>
      <c r="F31" s="9" t="n">
        <v>0</v>
      </c>
      <c r="G31" s="9" t="s">
        <v>200</v>
      </c>
      <c r="H31" s="16" t="n">
        <v>20000</v>
      </c>
      <c r="I31" s="9" t="s">
        <v>79</v>
      </c>
      <c r="J31" s="9" t="n">
        <v>1</v>
      </c>
      <c r="K31" s="9" t="s">
        <v>241</v>
      </c>
      <c r="L31" s="9" t="s">
        <v>242</v>
      </c>
      <c r="M31" s="9" t="s">
        <v>243</v>
      </c>
      <c r="N31" s="9" t="s">
        <v>215</v>
      </c>
      <c r="O31" s="9" t="s">
        <v>104</v>
      </c>
    </row>
    <row r="32" customFormat="false" ht="43.5" hidden="false" customHeight="true" outlineLevel="0" collapsed="false">
      <c r="A32" s="9" t="n">
        <v>31</v>
      </c>
      <c r="B32" s="9" t="s">
        <v>244</v>
      </c>
      <c r="C32" s="9" t="s">
        <v>184</v>
      </c>
      <c r="D32" s="9" t="s">
        <v>227</v>
      </c>
      <c r="E32" s="9" t="n">
        <v>36</v>
      </c>
      <c r="F32" s="9" t="n">
        <v>96</v>
      </c>
      <c r="G32" s="9" t="s">
        <v>245</v>
      </c>
      <c r="H32" s="16" t="n">
        <v>25000</v>
      </c>
      <c r="I32" s="9" t="s">
        <v>79</v>
      </c>
      <c r="J32" s="9" t="n">
        <v>1</v>
      </c>
      <c r="K32" s="9" t="s">
        <v>246</v>
      </c>
      <c r="L32" s="9" t="s">
        <v>247</v>
      </c>
      <c r="M32" s="9" t="s">
        <v>248</v>
      </c>
      <c r="N32" s="9" t="s">
        <v>90</v>
      </c>
      <c r="O32" s="9" t="s">
        <v>249</v>
      </c>
    </row>
    <row r="33" customFormat="false" ht="43.5" hidden="false" customHeight="true" outlineLevel="0" collapsed="false">
      <c r="A33" s="9" t="n">
        <v>32</v>
      </c>
      <c r="B33" s="9" t="s">
        <v>250</v>
      </c>
      <c r="C33" s="9" t="s">
        <v>184</v>
      </c>
      <c r="D33" s="9" t="s">
        <v>227</v>
      </c>
      <c r="E33" s="9" t="n">
        <v>31</v>
      </c>
      <c r="F33" s="9" t="n">
        <v>1</v>
      </c>
      <c r="G33" s="9" t="s">
        <v>179</v>
      </c>
      <c r="H33" s="16" t="n">
        <v>22500</v>
      </c>
      <c r="I33" s="9" t="s">
        <v>79</v>
      </c>
      <c r="J33" s="9" t="n">
        <v>1</v>
      </c>
      <c r="K33" s="9" t="s">
        <v>251</v>
      </c>
      <c r="L33" s="9" t="s">
        <v>252</v>
      </c>
      <c r="M33" s="9" t="s">
        <v>253</v>
      </c>
      <c r="N33" s="9" t="s">
        <v>215</v>
      </c>
      <c r="O33" s="9" t="s">
        <v>104</v>
      </c>
    </row>
    <row r="34" customFormat="false" ht="43.5" hidden="false" customHeight="true" outlineLevel="0" collapsed="false">
      <c r="A34" s="9" t="n">
        <v>33</v>
      </c>
      <c r="B34" s="9" t="s">
        <v>254</v>
      </c>
      <c r="C34" s="9" t="s">
        <v>184</v>
      </c>
      <c r="D34" s="9" t="s">
        <v>227</v>
      </c>
      <c r="E34" s="9" t="n">
        <v>31</v>
      </c>
      <c r="F34" s="9" t="n">
        <v>171</v>
      </c>
      <c r="G34" s="9" t="s">
        <v>255</v>
      </c>
      <c r="H34" s="16"/>
      <c r="I34" s="9" t="s">
        <v>79</v>
      </c>
      <c r="J34" s="9" t="n">
        <v>1</v>
      </c>
      <c r="K34" s="9" t="s">
        <v>256</v>
      </c>
      <c r="L34" s="9" t="s">
        <v>257</v>
      </c>
      <c r="M34" s="9" t="s">
        <v>258</v>
      </c>
      <c r="N34" s="9" t="s">
        <v>90</v>
      </c>
      <c r="O34" s="9" t="s">
        <v>259</v>
      </c>
    </row>
    <row r="36" customFormat="false" ht="15" hidden="false" customHeight="true" outlineLevel="0" collapsed="false">
      <c r="B36" s="4" t="s">
        <v>260</v>
      </c>
      <c r="C36" s="4"/>
      <c r="D36" s="4"/>
      <c r="E36" s="4"/>
    </row>
    <row r="37" customFormat="false" ht="15" hidden="false" customHeight="true" outlineLevel="0" collapsed="false">
      <c r="B37" s="9" t="s">
        <v>261</v>
      </c>
      <c r="C37" s="9"/>
      <c r="D37" s="9"/>
      <c r="E37" s="9"/>
      <c r="F37" s="8" t="n">
        <f aca="false">COUNTA(B2:B34)</f>
        <v>33</v>
      </c>
    </row>
    <row r="38" customFormat="false" ht="15" hidden="false" customHeight="true" outlineLevel="0" collapsed="false">
      <c r="B38" s="9" t="s">
        <v>262</v>
      </c>
      <c r="C38" s="9"/>
      <c r="D38" s="9"/>
      <c r="E38" s="9"/>
      <c r="F38" s="8" t="n">
        <f aca="false">COUNTIF(D2:D34,"P1")</f>
        <v>9</v>
      </c>
    </row>
    <row r="39" customFormat="false" ht="15" hidden="false" customHeight="true" outlineLevel="0" collapsed="false">
      <c r="B39" s="9" t="s">
        <v>263</v>
      </c>
      <c r="C39" s="9"/>
      <c r="D39" s="9"/>
      <c r="E39" s="9"/>
      <c r="F39" s="8" t="n">
        <f aca="false">COUNTIF(I2:I34,"No")</f>
        <v>6</v>
      </c>
    </row>
    <row r="40" customFormat="false" ht="15" hidden="false" customHeight="true" outlineLevel="0" collapsed="false">
      <c r="B40" s="9" t="s">
        <v>264</v>
      </c>
      <c r="C40" s="9"/>
      <c r="D40" s="9"/>
      <c r="E40" s="9"/>
      <c r="F40" s="8" t="n">
        <f aca="false">MEDIAN(F2:F34)</f>
        <v>15</v>
      </c>
    </row>
    <row r="41" customFormat="false" ht="15" hidden="false" customHeight="true" outlineLevel="0" collapsed="false">
      <c r="B41" s="9" t="s">
        <v>265</v>
      </c>
      <c r="C41" s="9"/>
      <c r="D41" s="9"/>
      <c r="E41" s="9"/>
      <c r="F41" s="8" t="n">
        <f aca="false">COUNTIF(F2:F34,"&gt;=14")</f>
        <v>18</v>
      </c>
    </row>
    <row r="42" customFormat="false" ht="15" hidden="false" customHeight="true" outlineLevel="0" collapsed="false">
      <c r="B42" s="9" t="s">
        <v>266</v>
      </c>
      <c r="C42" s="9"/>
      <c r="D42" s="9"/>
      <c r="E42" s="9"/>
      <c r="F42" s="17" t="n">
        <f aca="false">SUM(H2:H34)</f>
        <v>663000</v>
      </c>
    </row>
    <row r="43" customFormat="false" ht="15" hidden="false" customHeight="true" outlineLevel="0" collapsed="false">
      <c r="B43" s="9" t="s">
        <v>267</v>
      </c>
      <c r="C43" s="9"/>
      <c r="D43" s="9"/>
      <c r="E43" s="9"/>
      <c r="F43" s="8" t="n">
        <v>0</v>
      </c>
    </row>
    <row r="45" customFormat="false" ht="43.5" hidden="false" customHeight="true" outlineLevel="0" collapsed="false">
      <c r="B45" s="5" t="s">
        <v>268</v>
      </c>
      <c r="C45" s="5"/>
      <c r="D45" s="5"/>
      <c r="E45" s="5"/>
      <c r="F45" s="5"/>
      <c r="G45" s="5"/>
      <c r="H45" s="5"/>
      <c r="I45" s="5"/>
      <c r="J45" s="5"/>
      <c r="K45" s="5"/>
      <c r="L45" s="5"/>
      <c r="M45" s="5"/>
    </row>
    <row r="48" customFormat="false" ht="15" hidden="false" customHeight="true" outlineLevel="0" collapsed="false">
      <c r="B48" s="4" t="s">
        <v>269</v>
      </c>
      <c r="C48" s="4"/>
      <c r="D48" s="4"/>
      <c r="E48" s="4"/>
      <c r="F48" s="4"/>
      <c r="G48" s="4"/>
      <c r="H48" s="4"/>
    </row>
    <row r="49" customFormat="false" ht="31.5" hidden="false" customHeight="true" outlineLevel="0" collapsed="false">
      <c r="B49" s="8" t="s">
        <v>270</v>
      </c>
      <c r="C49" s="9" t="s">
        <v>271</v>
      </c>
      <c r="D49" s="9"/>
      <c r="E49" s="9"/>
      <c r="F49" s="9"/>
      <c r="G49" s="9"/>
      <c r="H49" s="9"/>
      <c r="I49" s="9"/>
      <c r="J49" s="9"/>
      <c r="K49" s="9"/>
      <c r="L49" s="9"/>
    </row>
    <row r="50" customFormat="false" ht="31.5" hidden="false" customHeight="true" outlineLevel="0" collapsed="false">
      <c r="B50" s="8" t="s">
        <v>272</v>
      </c>
      <c r="C50" s="9" t="s">
        <v>273</v>
      </c>
      <c r="D50" s="9"/>
      <c r="E50" s="9"/>
      <c r="F50" s="9"/>
      <c r="G50" s="9"/>
      <c r="H50" s="9"/>
      <c r="I50" s="9"/>
      <c r="J50" s="9"/>
      <c r="K50" s="9"/>
      <c r="L50" s="9"/>
    </row>
    <row r="51" customFormat="false" ht="31.5" hidden="false" customHeight="true" outlineLevel="0" collapsed="false">
      <c r="B51" s="8" t="s">
        <v>274</v>
      </c>
      <c r="C51" s="9" t="s">
        <v>275</v>
      </c>
      <c r="D51" s="9"/>
      <c r="E51" s="9"/>
      <c r="F51" s="9"/>
      <c r="G51" s="9"/>
      <c r="H51" s="9"/>
      <c r="I51" s="9"/>
      <c r="J51" s="9"/>
      <c r="K51" s="9"/>
      <c r="L51" s="9"/>
    </row>
    <row r="52" customFormat="false" ht="31.5" hidden="false" customHeight="true" outlineLevel="0" collapsed="false">
      <c r="B52" s="8" t="s">
        <v>276</v>
      </c>
      <c r="C52" s="9" t="s">
        <v>277</v>
      </c>
      <c r="D52" s="9"/>
      <c r="E52" s="9"/>
      <c r="F52" s="9"/>
      <c r="G52" s="9"/>
      <c r="H52" s="9"/>
      <c r="I52" s="9"/>
      <c r="J52" s="9"/>
      <c r="K52" s="9"/>
      <c r="L52" s="9"/>
    </row>
    <row r="53" customFormat="false" ht="31.5" hidden="false" customHeight="true" outlineLevel="0" collapsed="false">
      <c r="B53" s="8" t="s">
        <v>278</v>
      </c>
      <c r="C53" s="9" t="s">
        <v>279</v>
      </c>
      <c r="D53" s="9"/>
      <c r="E53" s="9"/>
      <c r="F53" s="9"/>
      <c r="G53" s="9"/>
      <c r="H53" s="9"/>
      <c r="I53" s="9"/>
      <c r="J53" s="9"/>
      <c r="K53" s="9"/>
      <c r="L53" s="9"/>
    </row>
    <row r="54" customFormat="false" ht="31.5" hidden="false" customHeight="true" outlineLevel="0" collapsed="false">
      <c r="B54" s="8" t="s">
        <v>280</v>
      </c>
      <c r="C54" s="9" t="s">
        <v>281</v>
      </c>
      <c r="D54" s="9"/>
      <c r="E54" s="9"/>
      <c r="F54" s="9"/>
      <c r="G54" s="9"/>
      <c r="H54" s="9"/>
      <c r="I54" s="9"/>
      <c r="J54" s="9"/>
      <c r="K54" s="9"/>
      <c r="L54" s="9"/>
    </row>
  </sheetData>
  <autoFilter ref="A1:O34"/>
  <mergeCells count="16">
    <mergeCell ref="B36:E36"/>
    <mergeCell ref="B37:E37"/>
    <mergeCell ref="B38:E38"/>
    <mergeCell ref="B39:E39"/>
    <mergeCell ref="B40:E40"/>
    <mergeCell ref="B41:E41"/>
    <mergeCell ref="B42:E42"/>
    <mergeCell ref="B43:E43"/>
    <mergeCell ref="B45:M45"/>
    <mergeCell ref="B48:H48"/>
    <mergeCell ref="C49:L49"/>
    <mergeCell ref="C50:L50"/>
    <mergeCell ref="C51:L51"/>
    <mergeCell ref="C52:L52"/>
    <mergeCell ref="C53:L53"/>
    <mergeCell ref="C54:L5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 collapsed="false" customWidth="true" hidden="false" outlineLevel="0" max="3" min="3" style="0" width="40"/>
  </cols>
  <sheetData>
    <row r="1" customFormat="false" ht="15" hidden="false" customHeight="false" outlineLevel="0" collapsed="false">
      <c r="A1" s="14" t="s">
        <v>282</v>
      </c>
      <c r="B1" s="14" t="s">
        <v>283</v>
      </c>
      <c r="C1" s="14" t="s">
        <v>284</v>
      </c>
    </row>
    <row r="2" customFormat="false" ht="61.5" hidden="false" customHeight="true" outlineLevel="0" collapsed="false">
      <c r="A2" s="8" t="s">
        <v>285</v>
      </c>
      <c r="B2" s="9" t="s">
        <v>286</v>
      </c>
      <c r="C2" s="9" t="s">
        <v>287</v>
      </c>
    </row>
    <row r="3" customFormat="false" ht="61.5" hidden="false" customHeight="true" outlineLevel="0" collapsed="false">
      <c r="A3" s="8" t="s">
        <v>288</v>
      </c>
      <c r="B3" s="9" t="s">
        <v>289</v>
      </c>
      <c r="C3" s="9" t="s">
        <v>290</v>
      </c>
    </row>
    <row r="4" customFormat="false" ht="61.5" hidden="false" customHeight="true" outlineLevel="0" collapsed="false">
      <c r="A4" s="8" t="s">
        <v>291</v>
      </c>
      <c r="B4" s="9" t="s">
        <v>292</v>
      </c>
      <c r="C4" s="9" t="s">
        <v>293</v>
      </c>
    </row>
    <row r="5" customFormat="false" ht="61.5" hidden="false" customHeight="true" outlineLevel="0" collapsed="false">
      <c r="A5" s="8" t="s">
        <v>294</v>
      </c>
      <c r="B5" s="9" t="s">
        <v>295</v>
      </c>
      <c r="C5" s="9" t="s">
        <v>296</v>
      </c>
    </row>
    <row r="6" customFormat="false" ht="61.5" hidden="false" customHeight="true" outlineLevel="0" collapsed="false">
      <c r="A6" s="8" t="s">
        <v>297</v>
      </c>
      <c r="B6" s="9" t="s">
        <v>298</v>
      </c>
      <c r="C6" s="9" t="s">
        <v>299</v>
      </c>
    </row>
    <row r="7" customFormat="false" ht="61.5" hidden="false" customHeight="true" outlineLevel="0" collapsed="false">
      <c r="A7" s="8" t="s">
        <v>300</v>
      </c>
      <c r="B7" s="9" t="s">
        <v>301</v>
      </c>
      <c r="C7" s="9" t="s">
        <v>302</v>
      </c>
    </row>
    <row r="8" customFormat="false" ht="61.5" hidden="false" customHeight="true" outlineLevel="0" collapsed="false">
      <c r="A8" s="8" t="s">
        <v>303</v>
      </c>
      <c r="B8" s="9" t="s">
        <v>304</v>
      </c>
      <c r="C8" s="9" t="s">
        <v>305</v>
      </c>
    </row>
    <row r="9" customFormat="false" ht="61.5" hidden="false" customHeight="true" outlineLevel="0" collapsed="false">
      <c r="A9" s="8" t="s">
        <v>306</v>
      </c>
      <c r="B9" s="9" t="s">
        <v>307</v>
      </c>
      <c r="C9" s="9" t="s">
        <v>308</v>
      </c>
    </row>
    <row r="10" customFormat="false" ht="61.5" hidden="false" customHeight="true" outlineLevel="0" collapsed="false">
      <c r="A10" s="8" t="s">
        <v>309</v>
      </c>
      <c r="B10" s="9" t="s">
        <v>310</v>
      </c>
      <c r="C10" s="9" t="s">
        <v>311</v>
      </c>
    </row>
    <row r="11" customFormat="false" ht="61.5" hidden="false" customHeight="true" outlineLevel="0" collapsed="false">
      <c r="A11" s="8" t="s">
        <v>312</v>
      </c>
      <c r="B11" s="9" t="s">
        <v>313</v>
      </c>
      <c r="C11" s="9" t="s">
        <v>314</v>
      </c>
    </row>
    <row r="13" customFormat="false" ht="15" hidden="false" customHeight="true" outlineLevel="0" collapsed="false">
      <c r="A13" s="5" t="s">
        <v>315</v>
      </c>
      <c r="B13" s="5"/>
      <c r="C13" s="5"/>
    </row>
  </sheetData>
  <mergeCells count="1">
    <mergeCell ref="A13:C1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2026-10-14T00:50:29Z</dcterms:created>
  <dc:creator>openpyxl</dc:creator>
  <dc:description/>
  <dc:language>en-US</dc:language>
  <cp:lastModifiedBy/>
  <dcterms:modified xsi:type="dcterms:W3CDTF">2026-10-14T00:50:29Z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