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portunity Scor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<sst xmlns="http://schemas.openxmlformats.org/spreadsheetml/2006/main" count="83" uniqueCount="74">
  <si>
    <t xml:space="preserve">AI Opportunity Scoring: AtliQ Sales &amp; CRM Assistant</t>
  </si>
  <si>
    <t xml:space="preserve">Impact (1-5): effect on client wait time and revenue from known pipeline. Feasibility (1-5): data available, tech maturity, risk. Blue cells are inputs; Score and Rank are formulas. Build threshold is cell K4.</t>
  </si>
  <si>
    <t xml:space="preserve">ID</t>
  </si>
  <si>
    <t xml:space="preserve">Opportunity</t>
  </si>
  <si>
    <t xml:space="preserve">AI capability</t>
  </si>
  <si>
    <t xml:space="preserve">Impact</t>
  </si>
  <si>
    <t xml:space="preserve">Feasibility</t>
  </si>
  <si>
    <t xml:space="preserve">Score</t>
  </si>
  <si>
    <t xml:space="preserve">Rank</t>
  </si>
  <si>
    <t xml:space="preserve">Decision</t>
  </si>
  <si>
    <t xml:space="preserve">Rationale</t>
  </si>
  <si>
    <t xml:space="preserve">Build threshold</t>
  </si>
  <si>
    <t xml:space="preserve">O1</t>
  </si>
  <si>
    <t xml:space="preserve">Multi-channel capture: read email, notes, WhatsApp, iMessage, Slack, call summaries, voice memos</t>
  </si>
  <si>
    <t xml:space="preserve">Information extraction (LLM, structured output)</t>
  </si>
  <si>
    <t xml:space="preserve">Build v1</t>
  </si>
  <si>
    <t xml:space="preserve">Root cause is capture; per-message extraction is cheap on Haiku</t>
  </si>
  <si>
    <t xml:space="preserve">O2</t>
  </si>
  <si>
    <t xml:space="preserve">'Who's waiting on us' open-loop queue + daily brief per owner</t>
  </si>
  <si>
    <t xml:space="preserve">Extraction + rules</t>
  </si>
  <si>
    <t xml:space="preserve">Directly moves the North Star</t>
  </si>
  <si>
    <t xml:space="preserve">O3</t>
  </si>
  <si>
    <t xml:space="preserve">Priority score using the CEO's rules (urgency, value, competition, relationship)</t>
  </si>
  <si>
    <t xml:space="preserve">Rules (deterministic, explainable)</t>
  </si>
  <si>
    <t xml:space="preserve">Encodes his gut; no model needed</t>
  </si>
  <si>
    <t xml:space="preserve">O4</t>
  </si>
  <si>
    <t xml:space="preserve">CRM field-update proposals with evidence; human approval; Kaizen export</t>
  </si>
  <si>
    <t xml:space="preserve">Structured extraction + rules</t>
  </si>
  <si>
    <t xml:space="preserve">Keeps the existing CRM, removes typing</t>
  </si>
  <si>
    <t xml:space="preserve">O5</t>
  </si>
  <si>
    <t xml:space="preserve">Grounded follow-up drafts (email / WhatsApp)</t>
  </si>
  <si>
    <t xml:space="preserve">Generation (LLM)</t>
  </si>
  <si>
    <t xml:space="preserve">Cuts reply effort; placeholders, never sends</t>
  </si>
  <si>
    <t xml:space="preserve">O6</t>
  </si>
  <si>
    <t xml:space="preserve">Missing-lead and duplicate detection</t>
  </si>
  <si>
    <t xml:space="preserve">Entity resolution (rules + extraction)</t>
  </si>
  <si>
    <t xml:space="preserve">Meridian awkwardness; 6 leads missing</t>
  </si>
  <si>
    <t xml:space="preserve">O7</t>
  </si>
  <si>
    <t xml:space="preserve">Cross-sell, renewal, revisit and reopen detection</t>
  </si>
  <si>
    <t xml:space="preserve">Classification (LLM)</t>
  </si>
  <si>
    <t xml:space="preserve">Same extraction pass; new signal types</t>
  </si>
  <si>
    <t xml:space="preserve">O8</t>
  </si>
  <si>
    <t xml:space="preserve">Ask the pipeline: Q&amp;A with citations</t>
  </si>
  <si>
    <t xml:space="preserve">Retrieval (RAG) + generation</t>
  </si>
  <si>
    <t xml:space="preserve">Build v1 (light)</t>
  </si>
  <si>
    <t xml:space="preserve">Replaces inbox searching in reviews</t>
  </si>
  <si>
    <t xml:space="preserve">O9</t>
  </si>
  <si>
    <t xml:space="preserve">Business-card / booth capture at conferences</t>
  </si>
  <si>
    <t xml:space="preserve">OCR + extraction</t>
  </si>
  <si>
    <t xml:space="preserve">Later (v2)</t>
  </si>
  <si>
    <t xml:space="preserve">Helps TechSummit gap; extraction exists</t>
  </si>
  <si>
    <t xml:space="preserve">O10</t>
  </si>
  <si>
    <t xml:space="preserve">Proposal / SOW first drafts</t>
  </si>
  <si>
    <t xml:space="preserve">Generation + retrieval over past proposals</t>
  </si>
  <si>
    <t xml:space="preserve">Needs proposal library</t>
  </si>
  <si>
    <t xml:space="preserve">O11</t>
  </si>
  <si>
    <t xml:space="preserve">Security questionnaire auto-answers</t>
  </si>
  <si>
    <t xml:space="preserve">Retrieval over policies + generation</t>
  </si>
  <si>
    <t xml:space="preserve">Needs approved policy corpus; high stakes</t>
  </si>
  <si>
    <t xml:space="preserve">O12</t>
  </si>
  <si>
    <t xml:space="preserve">Record and transcribe WhatsApp / FaceTime calls automatically</t>
  </si>
  <si>
    <t xml:space="preserve">Speech-to-text</t>
  </si>
  <si>
    <t xml:space="preserve">Not now</t>
  </si>
  <si>
    <t xml:space="preserve">Platforms don't allow recording; consent laws. Use post-call voice memo instead</t>
  </si>
  <si>
    <t xml:space="preserve">O13</t>
  </si>
  <si>
    <t xml:space="preserve">Win-probability prediction</t>
  </si>
  <si>
    <t xml:space="preserve">Predictive ML</t>
  </si>
  <si>
    <t xml:space="preserve">40 records, no outcome history: would be noise</t>
  </si>
  <si>
    <t xml:space="preserve">O14</t>
  </si>
  <si>
    <t xml:space="preserve">Autonomous agent that sends follow-ups and updates the CRM itself</t>
  </si>
  <si>
    <t xml:space="preserve">Agentic actions</t>
  </si>
  <si>
    <t xml:space="preserve">Rejected</t>
  </si>
  <si>
    <t xml:space="preserve">Client-facing errors are costly; founders must own the voice and the record</t>
  </si>
  <si>
    <t xml:space="preserve">Note: Decision also weighs risk. O14 (autonomous sending) and O12 (call recording) are rejected on risk and consent grounds regardless of score; O8 is built 'light'.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</si>
</sst>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6E0"/>
      </left>
      <right style="thin">
        <color rgb="FFD0D6E0"/>
      </right>
      <top style="thin">
        <color rgb="FFD0D6E0"/>
      </top>
      <bottom style="thin">
        <color rgb="FFD0D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6"/>
    <col collapsed="false" customWidth="true" hidden="false" outlineLevel="0" max="9" min="9" style="0" width="52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4" t="s">
        <v>11</v>
      </c>
      <c r="K4" s="5" t="n">
        <v>12</v>
      </c>
    </row>
    <row r="5" customFormat="false" ht="23.85" hidden="false" customHeight="false" outlineLevel="0" collapsed="false">
      <c r="A5" s="6" t="s">
        <v>12</v>
      </c>
      <c r="B5" s="6" t="s">
        <v>13</v>
      </c>
      <c r="C5" s="6" t="s">
        <v>14</v>
      </c>
      <c r="D5" s="7" t="n">
        <v>5</v>
      </c>
      <c r="E5" s="7" t="n">
        <v>4</v>
      </c>
      <c r="F5" s="6" t="n">
        <f aca="false">D5*E5</f>
        <v>20</v>
      </c>
      <c r="G5" s="6" t="n">
        <f aca="false">RANK(F5,$F$5:$F$18)</f>
        <v>2</v>
      </c>
      <c r="H5" s="6" t="s">
        <v>15</v>
      </c>
      <c r="I5" s="6" t="s">
        <v>16</v>
      </c>
      <c r="J5" s="8" t="str">
        <f aca="false">IF(F5&gt;=$K$4,"Above threshold","Below threshold")</f>
        <v>Above threshold</v>
      </c>
    </row>
    <row r="6" customFormat="false" ht="15" hidden="false" customHeight="false" outlineLevel="0" collapsed="false">
      <c r="A6" s="6" t="s">
        <v>17</v>
      </c>
      <c r="B6" s="6" t="s">
        <v>18</v>
      </c>
      <c r="C6" s="6" t="s">
        <v>19</v>
      </c>
      <c r="D6" s="7" t="n">
        <v>5</v>
      </c>
      <c r="E6" s="7" t="n">
        <v>5</v>
      </c>
      <c r="F6" s="6" t="n">
        <f aca="false">D6*E6</f>
        <v>25</v>
      </c>
      <c r="G6" s="6" t="n">
        <f aca="false">RANK(F6,$F$5:$F$18)</f>
        <v>1</v>
      </c>
      <c r="H6" s="6" t="s">
        <v>15</v>
      </c>
      <c r="I6" s="6" t="s">
        <v>20</v>
      </c>
      <c r="J6" s="8" t="str">
        <f aca="false">IF(F6&gt;=$K$4,"Above threshold","Below threshold")</f>
        <v>Above threshold</v>
      </c>
    </row>
    <row r="7" customFormat="false" ht="23.85" hidden="false" customHeight="false" outlineLevel="0" collapsed="false">
      <c r="A7" s="6" t="s">
        <v>21</v>
      </c>
      <c r="B7" s="6" t="s">
        <v>22</v>
      </c>
      <c r="C7" s="6" t="s">
        <v>23</v>
      </c>
      <c r="D7" s="7" t="n">
        <v>4</v>
      </c>
      <c r="E7" s="7" t="n">
        <v>5</v>
      </c>
      <c r="F7" s="6" t="n">
        <f aca="false">D7*E7</f>
        <v>20</v>
      </c>
      <c r="G7" s="6" t="n">
        <f aca="false">RANK(F7,$F$5:$F$18)</f>
        <v>2</v>
      </c>
      <c r="H7" s="6" t="s">
        <v>15</v>
      </c>
      <c r="I7" s="6" t="s">
        <v>24</v>
      </c>
      <c r="J7" s="8" t="str">
        <f aca="false">IF(F7&gt;=$K$4,"Above threshold","Below threshold")</f>
        <v>Above threshold</v>
      </c>
    </row>
    <row r="8" customFormat="false" ht="23.85" hidden="false" customHeight="false" outlineLevel="0" collapsed="false">
      <c r="A8" s="6" t="s">
        <v>25</v>
      </c>
      <c r="B8" s="6" t="s">
        <v>26</v>
      </c>
      <c r="C8" s="6" t="s">
        <v>27</v>
      </c>
      <c r="D8" s="7" t="n">
        <v>5</v>
      </c>
      <c r="E8" s="7" t="n">
        <v>4</v>
      </c>
      <c r="F8" s="6" t="n">
        <f aca="false">D8*E8</f>
        <v>20</v>
      </c>
      <c r="G8" s="6" t="n">
        <f aca="false">RANK(F8,$F$5:$F$18)</f>
        <v>2</v>
      </c>
      <c r="H8" s="6" t="s">
        <v>15</v>
      </c>
      <c r="I8" s="6" t="s">
        <v>28</v>
      </c>
      <c r="J8" s="8" t="str">
        <f aca="false">IF(F8&gt;=$K$4,"Above threshold","Below threshold")</f>
        <v>Above threshold</v>
      </c>
    </row>
    <row r="9" customFormat="false" ht="15" hidden="false" customHeight="false" outlineLevel="0" collapsed="false">
      <c r="A9" s="6" t="s">
        <v>29</v>
      </c>
      <c r="B9" s="6" t="s">
        <v>30</v>
      </c>
      <c r="C9" s="6" t="s">
        <v>31</v>
      </c>
      <c r="D9" s="7" t="n">
        <v>4</v>
      </c>
      <c r="E9" s="7" t="n">
        <v>4</v>
      </c>
      <c r="F9" s="6" t="n">
        <f aca="false">D9*E9</f>
        <v>16</v>
      </c>
      <c r="G9" s="6" t="n">
        <f aca="false">RANK(F9,$F$5:$F$18)</f>
        <v>5</v>
      </c>
      <c r="H9" s="6" t="s">
        <v>15</v>
      </c>
      <c r="I9" s="6" t="s">
        <v>32</v>
      </c>
      <c r="J9" s="8" t="str">
        <f aca="false">IF(F9&gt;=$K$4,"Above threshold","Below threshold")</f>
        <v>Above threshold</v>
      </c>
    </row>
    <row r="10" customFormat="false" ht="15" hidden="false" customHeight="false" outlineLevel="0" collapsed="false">
      <c r="A10" s="6" t="s">
        <v>33</v>
      </c>
      <c r="B10" s="6" t="s">
        <v>34</v>
      </c>
      <c r="C10" s="6" t="s">
        <v>35</v>
      </c>
      <c r="D10" s="7" t="n">
        <v>4</v>
      </c>
      <c r="E10" s="7" t="n">
        <v>4</v>
      </c>
      <c r="F10" s="6" t="n">
        <f aca="false">D10*E10</f>
        <v>16</v>
      </c>
      <c r="G10" s="6" t="n">
        <f aca="false">RANK(F10,$F$5:$F$18)</f>
        <v>5</v>
      </c>
      <c r="H10" s="6" t="s">
        <v>15</v>
      </c>
      <c r="I10" s="6" t="s">
        <v>36</v>
      </c>
      <c r="J10" s="8" t="str">
        <f aca="false">IF(F10&gt;=$K$4,"Above threshold","Below threshold")</f>
        <v>Above threshold</v>
      </c>
    </row>
    <row r="11" customFormat="false" ht="15" hidden="false" customHeight="false" outlineLevel="0" collapsed="false">
      <c r="A11" s="6" t="s">
        <v>37</v>
      </c>
      <c r="B11" s="6" t="s">
        <v>38</v>
      </c>
      <c r="C11" s="6" t="s">
        <v>39</v>
      </c>
      <c r="D11" s="7" t="n">
        <v>4</v>
      </c>
      <c r="E11" s="7" t="n">
        <v>4</v>
      </c>
      <c r="F11" s="6" t="n">
        <f aca="false">D11*E11</f>
        <v>16</v>
      </c>
      <c r="G11" s="6" t="n">
        <f aca="false">RANK(F11,$F$5:$F$18)</f>
        <v>5</v>
      </c>
      <c r="H11" s="6" t="s">
        <v>15</v>
      </c>
      <c r="I11" s="6" t="s">
        <v>40</v>
      </c>
      <c r="J11" s="8" t="str">
        <f aca="false">IF(F11&gt;=$K$4,"Above threshold","Below threshold")</f>
        <v>Above threshold</v>
      </c>
    </row>
    <row r="12" customFormat="false" ht="15" hidden="false" customHeight="false" outlineLevel="0" collapsed="false">
      <c r="A12" s="6" t="s">
        <v>41</v>
      </c>
      <c r="B12" s="6" t="s">
        <v>42</v>
      </c>
      <c r="C12" s="6" t="s">
        <v>43</v>
      </c>
      <c r="D12" s="7" t="n">
        <v>3</v>
      </c>
      <c r="E12" s="7" t="n">
        <v>4</v>
      </c>
      <c r="F12" s="6" t="n">
        <f aca="false">D12*E12</f>
        <v>12</v>
      </c>
      <c r="G12" s="6" t="n">
        <f aca="false">RANK(F12,$F$5:$F$18)</f>
        <v>8</v>
      </c>
      <c r="H12" s="6" t="s">
        <v>44</v>
      </c>
      <c r="I12" s="6" t="s">
        <v>45</v>
      </c>
      <c r="J12" s="8" t="str">
        <f aca="false">IF(F12&gt;=$K$4,"Above threshold","Below threshold")</f>
        <v>Above threshold</v>
      </c>
    </row>
    <row r="13" customFormat="false" ht="15" hidden="false" customHeight="false" outlineLevel="0" collapsed="false">
      <c r="A13" s="6" t="s">
        <v>46</v>
      </c>
      <c r="B13" s="6" t="s">
        <v>47</v>
      </c>
      <c r="C13" s="6" t="s">
        <v>48</v>
      </c>
      <c r="D13" s="7" t="n">
        <v>3</v>
      </c>
      <c r="E13" s="7" t="n">
        <v>4</v>
      </c>
      <c r="F13" s="6" t="n">
        <f aca="false">D13*E13</f>
        <v>12</v>
      </c>
      <c r="G13" s="6" t="n">
        <f aca="false">RANK(F13,$F$5:$F$18)</f>
        <v>8</v>
      </c>
      <c r="H13" s="6" t="s">
        <v>49</v>
      </c>
      <c r="I13" s="6" t="s">
        <v>50</v>
      </c>
      <c r="J13" s="8" t="str">
        <f aca="false">IF(F13&gt;=$K$4,"Above threshold","Below threshold")</f>
        <v>Above threshold</v>
      </c>
    </row>
    <row r="14" customFormat="false" ht="23.85" hidden="false" customHeight="false" outlineLevel="0" collapsed="false">
      <c r="A14" s="6" t="s">
        <v>51</v>
      </c>
      <c r="B14" s="6" t="s">
        <v>52</v>
      </c>
      <c r="C14" s="6" t="s">
        <v>53</v>
      </c>
      <c r="D14" s="7" t="n">
        <v>4</v>
      </c>
      <c r="E14" s="7" t="n">
        <v>3</v>
      </c>
      <c r="F14" s="6" t="n">
        <f aca="false">D14*E14</f>
        <v>12</v>
      </c>
      <c r="G14" s="6" t="n">
        <f aca="false">RANK(F14,$F$5:$F$18)</f>
        <v>8</v>
      </c>
      <c r="H14" s="6" t="s">
        <v>49</v>
      </c>
      <c r="I14" s="6" t="s">
        <v>54</v>
      </c>
      <c r="J14" s="8" t="str">
        <f aca="false">IF(F14&gt;=$K$4,"Above threshold","Below threshold")</f>
        <v>Above threshold</v>
      </c>
    </row>
    <row r="15" customFormat="false" ht="15" hidden="false" customHeight="false" outlineLevel="0" collapsed="false">
      <c r="A15" s="6" t="s">
        <v>55</v>
      </c>
      <c r="B15" s="6" t="s">
        <v>56</v>
      </c>
      <c r="C15" s="6" t="s">
        <v>57</v>
      </c>
      <c r="D15" s="7" t="n">
        <v>4</v>
      </c>
      <c r="E15" s="7" t="n">
        <v>2</v>
      </c>
      <c r="F15" s="6" t="n">
        <f aca="false">D15*E15</f>
        <v>8</v>
      </c>
      <c r="G15" s="6" t="n">
        <f aca="false">RANK(F15,$F$5:$F$18)</f>
        <v>12</v>
      </c>
      <c r="H15" s="6" t="s">
        <v>49</v>
      </c>
      <c r="I15" s="6" t="s">
        <v>58</v>
      </c>
      <c r="J15" s="8" t="str">
        <f aca="false">IF(F15&gt;=$K$4,"Above threshold","Below threshold")</f>
        <v>Below threshold</v>
      </c>
    </row>
    <row r="16" customFormat="false" ht="23.85" hidden="false" customHeight="false" outlineLevel="0" collapsed="false">
      <c r="A16" s="6" t="s">
        <v>59</v>
      </c>
      <c r="B16" s="6" t="s">
        <v>60</v>
      </c>
      <c r="C16" s="6" t="s">
        <v>61</v>
      </c>
      <c r="D16" s="7" t="n">
        <v>4</v>
      </c>
      <c r="E16" s="7" t="n">
        <v>1</v>
      </c>
      <c r="F16" s="6" t="n">
        <f aca="false">D16*E16</f>
        <v>4</v>
      </c>
      <c r="G16" s="6" t="n">
        <f aca="false">RANK(F16,$F$5:$F$18)</f>
        <v>13</v>
      </c>
      <c r="H16" s="6" t="s">
        <v>62</v>
      </c>
      <c r="I16" s="6" t="s">
        <v>63</v>
      </c>
      <c r="J16" s="8" t="str">
        <f aca="false">IF(F16&gt;=$K$4,"Above threshold","Below threshold")</f>
        <v>Below threshold</v>
      </c>
    </row>
    <row r="17" customFormat="false" ht="15" hidden="false" customHeight="false" outlineLevel="0" collapsed="false">
      <c r="A17" s="6" t="s">
        <v>64</v>
      </c>
      <c r="B17" s="6" t="s">
        <v>65</v>
      </c>
      <c r="C17" s="6" t="s">
        <v>66</v>
      </c>
      <c r="D17" s="7" t="n">
        <v>3</v>
      </c>
      <c r="E17" s="7" t="n">
        <v>1</v>
      </c>
      <c r="F17" s="6" t="n">
        <f aca="false">D17*E17</f>
        <v>3</v>
      </c>
      <c r="G17" s="6" t="n">
        <f aca="false">RANK(F17,$F$5:$F$18)</f>
        <v>14</v>
      </c>
      <c r="H17" s="6" t="s">
        <v>62</v>
      </c>
      <c r="I17" s="6" t="s">
        <v>67</v>
      </c>
      <c r="J17" s="8" t="str">
        <f aca="false">IF(F17&gt;=$K$4,"Above threshold","Below threshold")</f>
        <v>Below threshold</v>
      </c>
    </row>
    <row r="18" customFormat="false" ht="23.85" hidden="false" customHeight="false" outlineLevel="0" collapsed="false">
      <c r="A18" s="6" t="s">
        <v>68</v>
      </c>
      <c r="B18" s="6" t="s">
        <v>69</v>
      </c>
      <c r="C18" s="6" t="s">
        <v>70</v>
      </c>
      <c r="D18" s="7" t="n">
        <v>3</v>
      </c>
      <c r="E18" s="7" t="n">
        <v>3</v>
      </c>
      <c r="F18" s="6" t="n">
        <f aca="false">D18*E18</f>
        <v>9</v>
      </c>
      <c r="G18" s="6" t="n">
        <f aca="false">RANK(F18,$F$5:$F$18)</f>
        <v>11</v>
      </c>
      <c r="H18" s="6" t="s">
        <v>71</v>
      </c>
      <c r="I18" s="6" t="s">
        <v>72</v>
      </c>
      <c r="J18" s="8" t="str">
        <f aca="false">IF(F18&gt;=$K$4,"Above threshold","Below threshold")</f>
        <v>Below threshold</v>
      </c>
    </row>
    <row r="20" customFormat="false" ht="15" hidden="false" customHeight="false" outlineLevel="0" collapsed="false">
      <c r="B20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2026-10-14T00:52:44Z</dcterms:created>
  <dc:creator>openpyxl</dc:creator>
  <dc:description/>
  <dc:language>en-US</dc:language>
  <cp:lastModifiedBy/>
  <dcterms:modified xsi:type="dcterms:W3CDTF">2026-10-14T00:52:44Z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