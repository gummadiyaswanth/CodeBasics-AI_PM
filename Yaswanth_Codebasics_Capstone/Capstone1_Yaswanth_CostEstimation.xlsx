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9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all Monthly Cost" sheetId="1" state="visible" r:id="rId3"/>
    <sheet name="Inference" sheetId="2" state="visible" r:id="rId4"/>
    <sheet name="Embeddings" sheetId="3" state="visible" r:id="rId5"/>
    <sheet name="Cost Sav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Dataset: emails avg ~150-250 words, meeting notes up to ~180 words; channel messages shorter. 400 words is a conservative ceiling incl. long threads. 1.3 tokens/word as in the Embeddings sheet.</t>
        </r>
      </text>
    </comment>
    <comment ref="C7" authorId="0">
      <text>
        <r>
          <rPr>
            <sz val="10"/>
            <rFont val="Arial"/>
            <family val="2"/>
          </rPr>
          <t xml:space="preserve">Measured from api/_prompts.ts EXTRACT_SYSTEM (~2,400 chars).</t>
        </r>
      </text>
    </comment>
    <comment ref="C12" authorId="0">
      <text>
        <r>
          <rPr>
            <sz val="10"/>
            <rFont val="Arial"/>
            <family val="2"/>
          </rPr>
          <t xml:space="preserve">Structured JSON: ~3-6 signals x ~60 tokens + wrapper.</t>
        </r>
      </text>
    </comment>
    <comment ref="C14" authorId="0">
      <text>
        <r>
          <rPr>
            <sz val="10"/>
            <rFont val="Arial"/>
            <family val="2"/>
          </rPr>
          <t xml:space="preserve">4 sellers x ~15 sales messages/notes/chats per day across channels (estimate from dataset density + CEO interview).</t>
        </r>
      </text>
    </comment>
    <comment ref="C15" authorId="0">
      <text>
        <r>
          <rPr>
            <sz val="10"/>
            <rFont val="Arial"/>
            <family val="2"/>
          </rPr>
          <t xml:space="preserve">Business days per month.</t>
        </r>
      </text>
    </comment>
    <comment ref="F6" authorId="0">
      <text>
        <r>
          <rPr>
            <sz val="10"/>
            <rFont val="Arial"/>
            <family val="2"/>
          </rPr>
          <t xml:space="preserve">Source: Anthropic pricing page, platform.claude.com/docs/en/about-claude/pricing (checked 14 Oct 2026). Haiku 5.5 rate applies to prompts &lt;=100K tokens.</t>
        </r>
      </text>
    </comment>
    <comment ref="F7" authorId="0">
      <text>
        <r>
          <rPr>
            <sz val="10"/>
            <rFont val="Arial"/>
            <family val="2"/>
          </rPr>
          <t xml:space="preserve">Source: Anthropic pricing page, platform.claude.com/docs/en/about-claude/pricing (checked 14 Oct 2026). Haiku 5.5 rate applies to prompts &lt;=100K tokens.</t>
        </r>
      </text>
    </comment>
    <comment ref="F8" authorId="0">
      <text>
        <r>
          <rPr>
            <sz val="10"/>
            <rFont val="Arial"/>
            <family val="2"/>
          </rPr>
          <t xml:space="preserve">Source: Anthropic pricing page, platform.claude.com/docs/en/about-claude/pricing (checked 14 Oct 2026). Haiku 5.5 rate applies to prompts &lt;=100K tokens.</t>
        </r>
      </text>
    </comment>
    <comment ref="F9" authorId="0">
      <text>
        <r>
          <rPr>
            <sz val="10"/>
            <rFont val="Arial"/>
            <family val="2"/>
          </rPr>
          <t xml:space="preserve">Gemini API free tier: input and output tokens free of charge; content used to improve Google's products. Source: ai.google.dev/gemini-api/docs/pricing (checked 14 Oct 2026).</t>
        </r>
      </text>
    </comment>
    <comment ref="G6" authorId="0">
      <text>
        <r>
          <rPr>
            <sz val="10"/>
            <rFont val="Arial"/>
            <family val="2"/>
          </rPr>
          <t xml:space="preserve">Source: Anthropic pricing page, platform.claude.com/docs/en/about-claude/pricing (checked 14 Oct 2026). Haiku 5.5 rate applies to prompts &lt;=100K tokens.</t>
        </r>
      </text>
    </comment>
    <comment ref="G7" authorId="0">
      <text>
        <r>
          <rPr>
            <sz val="10"/>
            <rFont val="Arial"/>
            <family val="2"/>
          </rPr>
          <t xml:space="preserve">Source: Anthropic pricing page, platform.claude.com/docs/en/about-claude/pricing (checked 14 Oct 2026). Haiku 5.5 rate applies to prompts &lt;=100K tokens.</t>
        </r>
      </text>
    </comment>
    <comment ref="G8" authorId="0">
      <text>
        <r>
          <rPr>
            <sz val="10"/>
            <rFont val="Arial"/>
            <family val="2"/>
          </rPr>
          <t xml:space="preserve">Source: Anthropic pricing page, platform.claude.com/docs/en/about-claude/pricing (checked 14 Oct 2026). Haiku 5.5 rate applies to prompts &lt;=100K tokens.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~25 threads/business day across 4 sellers</t>
        </r>
      </text>
    </comment>
    <comment ref="D16" authorId="0">
      <text>
        <r>
          <rPr>
            <sz val="10"/>
            <rFont val="Arial"/>
            <family val="2"/>
          </rPr>
          <t xml:space="preserve">voyage-3.5-lite: $0.02 per 1M tokens. Source: docs.voyageai.com/pricing (checked 14 Oct 2026). Anthropic has no embedding model; Voyage is its recommended partner.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~4 min per item incl. reading the thread and updating Kaizen; 8 h day.</t>
        </r>
      </text>
    </comment>
    <comment ref="E15" authorId="0">
      <text>
        <r>
          <rPr>
            <sz val="10"/>
            <rFont val="Arial"/>
            <family val="2"/>
          </rPr>
          <t xml:space="preserve">~INR 5.5 LPA / 12 at ~INR 84/USD. Estimate.</t>
        </r>
      </text>
    </comment>
    <comment ref="E35" authorId="0">
      <text>
        <r>
          <rPr>
            <sz val="10"/>
            <rFont val="Arial"/>
            <family val="2"/>
          </rPr>
          <t xml:space="preserve">Jay ~2 h before each review + ~15 min/day per seller if they did log same-day</t>
        </r>
      </text>
    </comment>
    <comment ref="E36" authorId="0">
      <text>
        <r>
          <rPr>
            <sz val="10"/>
            <rFont val="Arial"/>
            <family val="2"/>
          </rPr>
          <t xml:space="preserve">Assumption; founders' time is the scarcest resource</t>
        </r>
      </text>
    </comment>
    <comment ref="E38" authorId="0">
      <text>
        <r>
          <rPr>
            <sz val="10"/>
            <rFont val="Arial"/>
            <family val="2"/>
          </rPr>
          <t xml:space="preserve">From Evidence sheet of the user research workbook (33 accounts, 10 Jul 2026)</t>
        </r>
      </text>
    </comment>
    <comment ref="E39" authorId="0">
      <text>
        <r>
          <rPr>
            <sz val="10"/>
            <rFont val="Arial"/>
            <family val="2"/>
          </rPr>
          <t xml:space="preserve">Conservative assumption: 1 in 10 dollars saved</t>
        </r>
      </text>
    </comment>
  </commentList>
</comments>
</file>

<file path=xl/sharedStrings.xml><?xml version="1.0" encoding="utf-8"?>
<sst xmlns="http://schemas.openxmlformats.org/spreadsheetml/2006/main" count="171" uniqueCount="142">
  <si>
    <t xml:space="preserve">Recall: monthly run cost. Production plan (Claude, paid) at top; capstone prototype (Gemini free tier) below.</t>
  </si>
  <si>
    <t xml:space="preserve">Blue = inputs (assumptions). Black = formulas. Prices per 1M tokens.</t>
  </si>
  <si>
    <t xml:space="preserve">Business days / month</t>
  </si>
  <si>
    <t xml:space="preserve">Call type</t>
  </si>
  <si>
    <t xml:space="preserve">Model</t>
  </si>
  <si>
    <t xml:space="preserve">Input tokens / call</t>
  </si>
  <si>
    <t xml:space="preserve">Output tokens / call</t>
  </si>
  <si>
    <t xml:space="preserve">Input $ / 1M</t>
  </si>
  <si>
    <t xml:space="preserve">Output $ / 1M</t>
  </si>
  <si>
    <t xml:space="preserve">Calls / day</t>
  </si>
  <si>
    <t xml:space="preserve">Cost / call ($)</t>
  </si>
  <si>
    <t xml:space="preserve">Cost / month ($)</t>
  </si>
  <si>
    <t xml:space="preserve">Why this model / note</t>
  </si>
  <si>
    <t xml:space="preserve">Signal extraction (capture)</t>
  </si>
  <si>
    <t xml:space="preserve">claude-haiku-5-5</t>
  </si>
  <si>
    <t xml:space="preserve">High volume, structured; links to Inference sheet</t>
  </si>
  <si>
    <t xml:space="preserve">Follow-up draft</t>
  </si>
  <si>
    <t xml:space="preserve">claude-sonnet-5-5</t>
  </si>
  <si>
    <t xml:space="preserve">Client-facing writing quality; prompt = rules 250 + open items 300 + 4 excerpts x 600</t>
  </si>
  <si>
    <t xml:space="preserve">Ask the pipeline (Q&amp;A)</t>
  </si>
  <si>
    <t xml:space="preserve">Reasoning across 6 retrieved conversations with citations</t>
  </si>
  <si>
    <t xml:space="preserve">Monthly live eval re-run (55 sources)</t>
  </si>
  <si>
    <t xml:space="preserve">Regression check after prompt/model changes (55 calls/month)</t>
  </si>
  <si>
    <t xml:space="preserve">AI model cost / month</t>
  </si>
  <si>
    <t xml:space="preserve">Infrastructure</t>
  </si>
  <si>
    <t xml:space="preserve">Vercel hosting (Pro, 1 developer seat)</t>
  </si>
  <si>
    <t xml:space="preserve">Hobby ($0) is personal/non-commercial only, so production uses Pro. Prototype runs on Hobby. Source: vercel.com/pricing</t>
  </si>
  <si>
    <t xml:space="preserve">Database for signals + approvals (Supabase free tier)</t>
  </si>
  <si>
    <t xml:space="preserve">Prototype keeps state in the browser; v1 production fits a free Postgres tier</t>
  </si>
  <si>
    <t xml:space="preserve">Voice memo transcription</t>
  </si>
  <si>
    <t xml:space="preserve">Phone's built-in dictation/transcription (iOS/Android); read.ai already licensed for Teams</t>
  </si>
  <si>
    <t xml:space="preserve">Channel connectors (Gmail, Slack, WhatsApp Business)</t>
  </si>
  <si>
    <t xml:space="preserve">Gmail/Slack APIs free at this volume. WhatsApp Business Platform: user-initiated service conversations are free; verify per-message pricing before go-live</t>
  </si>
  <si>
    <t xml:space="preserve">Embeddings (v2 only)</t>
  </si>
  <si>
    <t xml:space="preserve">Shown for reference, NOT in the total: v1 uses per-account context, not vector search. See Embeddings sheet</t>
  </si>
  <si>
    <t xml:space="preserve">Total monthly run cost</t>
  </si>
  <si>
    <t xml:space="preserve">Cost per seller per month (4 sellers)</t>
  </si>
  <si>
    <t xml:space="preserve">AI cost per captured message (all calls / messages)</t>
  </si>
  <si>
    <t xml:space="preserve">How cost shaped scope</t>
  </si>
  <si>
    <t xml:space="preserve">1. Extraction on Haiku 5.5, not Sonnet: same structured job at 1/20th the price; the verbatim-quote check in code makes the cheaper model safe.</t>
  </si>
  <si>
    <t xml:space="preserve">2. Ranking, dates, duplicates and CRM health are rules, not model calls: $0, instant, explainable.</t>
  </si>
  <si>
    <t xml:space="preserve">3. Sonnet only where a client reads the output (drafts) or reasoning spans many messages (Q&amp;A); both are on-demand, not per message.</t>
  </si>
  <si>
    <t xml:space="preserve">4. No Opus: nothing in v1 needs it; it would double the Sonnet lines.</t>
  </si>
  <si>
    <t xml:space="preserve">5. No embeddings / vector DB in v1: each call gets the account's own context; revisit when history exceeds what fits per account.</t>
  </si>
  <si>
    <t xml:space="preserve">6. No call recording + speech-to-text for WhatsApp/FaceTime: platforms don't allow it and consent is unclear; post-call voice memos cost $0.</t>
  </si>
  <si>
    <t xml:space="preserve">7. Sensitivity: even at 10x volume (600 messages/day) and drafts for every message, AI cost stays under ~$100/month.</t>
  </si>
  <si>
    <t xml:space="preserve">Source: Anthropic pricing page, platform.claude.com/docs/en/about-claude/pricing (checked 14 Oct 2026). Haiku 5.5 rate applies to prompts &lt;=100K tokens.</t>
  </si>
  <si>
    <t xml:space="preserve">Sensitivity: 10x volume</t>
  </si>
  <si>
    <t xml:space="preserve">Volume multiplier</t>
  </si>
  <si>
    <t xml:space="preserve">AI model cost / month at multiplier</t>
  </si>
  <si>
    <t xml:space="preserve">Prototype deployment (capstone): Gemini free tier on Vercel Hobby</t>
  </si>
  <si>
    <t xml:space="preserve">Note</t>
  </si>
  <si>
    <t xml:space="preserve">Signal extraction</t>
  </si>
  <si>
    <t xml:space="preserve">gemini-3.5-flash-lite</t>
  </si>
  <si>
    <t xml:space="preserve">Free of charge on the free tier; limits are per project per minute and per day (AI Studio).</t>
  </si>
  <si>
    <t xml:space="preserve">gemini-3.8-flash</t>
  </si>
  <si>
    <t xml:space="preserve">Ask the pipeline</t>
  </si>
  <si>
    <t xml:space="preserve">Hosting (Vercel Hobby)</t>
  </si>
  <si>
    <t xml:space="preserve">n/a</t>
  </si>
  <si>
    <t xml:space="preserve">Hobby is free for personal, non-commercial use: fine for a capstone.</t>
  </si>
  <si>
    <t xml:space="preserve">Prototype monthly run cost</t>
  </si>
  <si>
    <t xml:space="preserve">Why only for the prototype: Google states free-tier content is used to improve its products. The AtliQ dataset is synthetic, so this is acceptable for the capstone; real client messages must use a paid tier that does not train on inputs (the Claude plan above, or Gemini paid).</t>
  </si>
  <si>
    <t xml:space="preserve">Source: ai.google.dev/gemini-api/docs/pricing and /rate-limits (checked 14 Oct 2026); vercel.com/pricing.</t>
  </si>
  <si>
    <t xml:space="preserve">Recall: signal extraction call (one per incoming message, note, chat or voice memo). Model comparison.</t>
  </si>
  <si>
    <t xml:space="preserve">Base Calculation</t>
  </si>
  <si>
    <t xml:space="preserve">Model Selection + Cost Estimation</t>
  </si>
  <si>
    <t xml:space="preserve">Description</t>
  </si>
  <si>
    <t xml:space="preserve">Quantity</t>
  </si>
  <si>
    <t xml:space="preserve">Model Name</t>
  </si>
  <si>
    <t xml:space="preserve">Input cost($) per 1M token</t>
  </si>
  <si>
    <t xml:space="preserve">Output cost($) per 1M token</t>
  </si>
  <si>
    <t xml:space="preserve">Cost per input Query($)</t>
  </si>
  <si>
    <t xml:space="preserve">Cost per output query Query($)</t>
  </si>
  <si>
    <t xml:space="preserve">Total Cost per query</t>
  </si>
  <si>
    <t xml:space="preserve">Total cost per month</t>
  </si>
  <si>
    <t xml:space="preserve">Incoming message / note / transcript (avg 400 words x 1.3)</t>
  </si>
  <si>
    <t xml:space="preserve">System prompt (rules)</t>
  </si>
  <si>
    <t xml:space="preserve">Tool schema (record_signals JSON schema)</t>
  </si>
  <si>
    <t xml:space="preserve">claude-opus-5-5</t>
  </si>
  <si>
    <t xml:space="preserve">Known-accounts list (company names)</t>
  </si>
  <si>
    <t xml:space="preserve">gemini-3.5-flash-lite (free tier)</t>
  </si>
  <si>
    <t xml:space="preserve">Message metadata (channel, date)</t>
  </si>
  <si>
    <t xml:space="preserve">Total input tokens per query</t>
  </si>
  <si>
    <t xml:space="preserve">Total Output tokens per query</t>
  </si>
  <si>
    <t xml:space="preserve">Total Token per query</t>
  </si>
  <si>
    <t xml:space="preserve">Total queries received per day</t>
  </si>
  <si>
    <t xml:space="preserve">Total number of days per month</t>
  </si>
  <si>
    <t xml:space="preserve">Prototype: gemini-3.5-flash-lite on the free tier ($0; synthetic data only). Production: claude-haiku-5-5. Extraction is narrow and schema-bound, and Haiku is the vendor's recommended tier for extraction; Sonnet would cost 20x for the same job. Quote check in code catches any extraction slip.</t>
  </si>
  <si>
    <t xml:space="preserve">Total monthly volume of queries</t>
  </si>
  <si>
    <t xml:space="preserve">v2 option only: embeddings for search across all historical conversations. v1 does not use embeddings ($0).</t>
  </si>
  <si>
    <t xml:space="preserve">Token/word</t>
  </si>
  <si>
    <t xml:space="preserve">Email threads</t>
  </si>
  <si>
    <t xml:space="preserve">Meeting notes / call summaries</t>
  </si>
  <si>
    <t xml:space="preserve">Chat messages (WhatsApp/iMessage/Slack)</t>
  </si>
  <si>
    <t xml:space="preserve">Component</t>
  </si>
  <si>
    <t xml:space="preserve">Threads per year</t>
  </si>
  <si>
    <t xml:space="preserve">Notes per year</t>
  </si>
  <si>
    <t xml:space="preserve">Chats per year</t>
  </si>
  <si>
    <t xml:space="preserve">Words per thread</t>
  </si>
  <si>
    <t xml:space="preserve">Words per note</t>
  </si>
  <si>
    <t xml:space="preserve">Words per chat</t>
  </si>
  <si>
    <t xml:space="preserve">Total number of words</t>
  </si>
  <si>
    <t xml:space="preserve">Total Tokens</t>
  </si>
  <si>
    <t xml:space="preserve">Total tokens</t>
  </si>
  <si>
    <t xml:space="preserve">RAG Embeddings</t>
  </si>
  <si>
    <t xml:space="preserve">Cost/Quantity</t>
  </si>
  <si>
    <t xml:space="preserve">Total tokens for RAG</t>
  </si>
  <si>
    <t xml:space="preserve">Cost per 1M token</t>
  </si>
  <si>
    <t xml:space="preserve">Total cost for RAG</t>
  </si>
  <si>
    <t xml:space="preserve">User Query Embeddings</t>
  </si>
  <si>
    <t xml:space="preserve">Tokens per question</t>
  </si>
  <si>
    <t xml:space="preserve">Questions per month</t>
  </si>
  <si>
    <t xml:space="preserve">Token tokens per month</t>
  </si>
  <si>
    <t xml:space="preserve">Total cost for user query embeddings</t>
  </si>
  <si>
    <t xml:space="preserve">Total cost of Embeddings</t>
  </si>
  <si>
    <t xml:space="preserve">Alternative: hire a sales-ops coordinator to log every conversation</t>
  </si>
  <si>
    <t xml:space="preserve">Messages / notes per day to log</t>
  </si>
  <si>
    <t xml:space="preserve">Items one coordinator can log per day</t>
  </si>
  <si>
    <t xml:space="preserve">Business days per month</t>
  </si>
  <si>
    <t xml:space="preserve">Items one coordinator logs per month</t>
  </si>
  <si>
    <t xml:space="preserve">Total items per month</t>
  </si>
  <si>
    <t xml:space="preserve">Coordinators required</t>
  </si>
  <si>
    <t xml:space="preserve">Monthly cost of coordinator ($)</t>
  </si>
  <si>
    <t xml:space="preserve">Cost</t>
  </si>
  <si>
    <t xml:space="preserve">Salary (Hyderabad, sales ops coordinator)</t>
  </si>
  <si>
    <t xml:space="preserve">Admin, tools, management overhead</t>
  </si>
  <si>
    <t xml:space="preserve">Total cost per human agent per month</t>
  </si>
  <si>
    <t xml:space="preserve">Total cost for Human agent per month</t>
  </si>
  <si>
    <t xml:space="preserve">Cost for Recall</t>
  </si>
  <si>
    <t xml:space="preserve">AI model cost (Recall Monthly Cost sheet)</t>
  </si>
  <si>
    <t xml:space="preserve">Infrastructure (hosting, DB, connectors)</t>
  </si>
  <si>
    <t xml:space="preserve">Total Recall cost</t>
  </si>
  <si>
    <t xml:space="preserve">Total savings vs coordinator</t>
  </si>
  <si>
    <t xml:space="preserve">% savings</t>
  </si>
  <si>
    <t xml:space="preserve">Founder time and revenue at stake (the real case)</t>
  </si>
  <si>
    <t xml:space="preserve">Founder/seller hours on CRM upkeep + reconciliation per month (today: mostly not done)</t>
  </si>
  <si>
    <t xml:space="preserve">Blended founder hour value ($)</t>
  </si>
  <si>
    <t xml:space="preserve">Value of time returned per month ($)</t>
  </si>
  <si>
    <t xml:space="preserve">Known deal value currently waiting on AtliQ ($)</t>
  </si>
  <si>
    <t xml:space="preserve">Share of that value saved by replying within 2 business days</t>
  </si>
  <si>
    <t xml:space="preserve">Revenue protected ($)</t>
  </si>
  <si>
    <t xml:space="preserve">Payback: months of Recall cost covered by one saved $20k deal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</si>
</sst>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0.00000"/>
    <numFmt numFmtId="166" formatCode="\$#,##0.00"/>
    <numFmt numFmtId="167" formatCode="\$0.0000"/>
    <numFmt numFmtId="168" formatCode="General"/>
    <numFmt numFmtId="169" formatCode="[$$-409]#,##0.00"/>
    <numFmt numFmtId="170" formatCode="0.00"/>
    <numFmt numFmtId="171" formatCode="_(\₹* #,##0.00_);_(\₹* \(#,##0.00\);_(\₹* \-??_);_(@_)"/>
    <numFmt numFmtId="172" formatCode="_([$$-409]* #,##0.00_);_([$$-409]* \(#,##0.00\);_([$$-409]* \-??_);_(@_)"/>
    <numFmt numFmtId="173" formatCode="0%"/>
    <numFmt numFmtId="174" formatCode="0.0%"/>
    <numFmt numFmtId="175" formatCode="\$#,##0"/>
    <numFmt numFmtId="176" formatCode="#,##0"/>
  </numFmts>
  <fonts count="15">
    <font>
      <sz val="14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D687B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theme="1"/>
      <name val="Calibri"/>
      <family val="2"/>
      <charset val="1"/>
    </font>
    <font>
      <sz val="10"/>
      <name val="Arial"/>
      <family val="2"/>
    </font>
    <font>
      <b val="true"/>
      <sz val="18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theme="4" tint="0.5999"/>
        <bgColor rgb="FF99CCFF"/>
      </patternFill>
    </fill>
    <fill>
      <patternFill patternType="solid">
        <fgColor theme="4" tint="-0.25"/>
        <bgColor rgb="FF4472C4"/>
      </patternFill>
    </fill>
    <fill>
      <patternFill patternType="solid">
        <fgColor theme="4"/>
        <bgColor rgb="FF5D687B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>
        <color rgb="FFD0D6E0"/>
      </left>
      <right style="thin">
        <color rgb="FFD0D6E0"/>
      </right>
      <top style="thin">
        <color rgb="FFD0D6E0"/>
      </top>
      <bottom style="thin">
        <color rgb="FFD0D6E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thin">
        <color theme="4"/>
      </top>
      <bottom style="medium"/>
      <diagonal/>
    </border>
    <border diagonalUp="false" diagonalDown="false">
      <left style="thin">
        <color theme="4"/>
      </left>
      <right style="medium"/>
      <top style="thin">
        <color theme="4"/>
      </top>
      <bottom style="medium"/>
      <diagonal/>
    </border>
    <border diagonalUp="false" diagonalDown="false">
      <left style="medium"/>
      <right/>
      <top style="thin">
        <color theme="4"/>
      </top>
      <bottom/>
      <diagonal/>
    </border>
    <border diagonalUp="false" diagonalDown="false">
      <left/>
      <right style="medium"/>
      <top style="thin">
        <color theme="4"/>
      </top>
      <bottom/>
      <diagonal/>
    </border>
    <border diagonalUp="false" diagonalDown="false">
      <left style="thin">
        <color theme="4"/>
      </left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10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4" borderId="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B4C7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2F559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6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D687B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B5:C16" headerRowCount="1" totalsRowCount="0" totalsRowShown="0">
  <autoFilter ref="B5:C16"/>
  <tableColumns count="2">
    <tableColumn id="1" name="Description"/>
    <tableColumn id="2" name="Quantity"/>
  </tableColumns>
</table>
</file>

<file path=xl/tables/table2.xml><?xml version="1.0" encoding="utf-8"?>
<table xmlns="http://schemas.openxmlformats.org/spreadsheetml/2006/main" id="2" name="Table10" displayName="Table10" ref="D23:E25" headerRowCount="1" totalsRowCount="0" totalsRowShown="0">
  <autoFilter ref="D23:E25"/>
  <tableColumns count="2">
    <tableColumn id="1" name="Component"/>
    <tableColumn id="2" name="Cost"/>
  </tableColumns>
</table>
</file>

<file path=xl/tables/table3.xml><?xml version="1.0" encoding="utf-8"?>
<table xmlns="http://schemas.openxmlformats.org/spreadsheetml/2006/main" id="3" name="Table2" displayName="Table2" ref="E5:K11" headerRowCount="1" totalsRowCount="0" totalsRowShown="0">
  <autoFilter ref="E5:K11"/>
  <tableColumns count="7">
    <tableColumn id="1" name="Model Name"/>
    <tableColumn id="2" name="Input cost($) per 1M token"/>
    <tableColumn id="3" name="Output cost($) per 1M token"/>
    <tableColumn id="4" name="Cost per input Query($)"/>
    <tableColumn id="5" name="Cost per output query Query($)"/>
    <tableColumn id="6" name="Total Cost per query"/>
    <tableColumn id="7" name="Total cost per month"/>
  </tableColumns>
</table>
</file>

<file path=xl/tables/table4.xml><?xml version="1.0" encoding="utf-8"?>
<table xmlns="http://schemas.openxmlformats.org/spreadsheetml/2006/main" id="4" name="Table3" displayName="Table3" ref="C6:D10" headerRowCount="1" totalsRowCount="0" totalsRowShown="0">
  <autoFilter ref="C6:D10"/>
  <tableColumns count="2">
    <tableColumn id="1" name="Component"/>
    <tableColumn id="2" name="Quantity"/>
  </tableColumns>
</table>
</file>

<file path=xl/tables/table5.xml><?xml version="1.0" encoding="utf-8"?>
<table xmlns="http://schemas.openxmlformats.org/spreadsheetml/2006/main" id="5" name="Table4" displayName="Table4" ref="F6:G10" headerRowCount="1" totalsRowCount="0" totalsRowShown="0">
  <autoFilter ref="F6:G10"/>
  <tableColumns count="2">
    <tableColumn id="1" name="Component"/>
    <tableColumn id="2" name="Quantity"/>
  </tableColumns>
</table>
</file>

<file path=xl/tables/table6.xml><?xml version="1.0" encoding="utf-8"?>
<table xmlns="http://schemas.openxmlformats.org/spreadsheetml/2006/main" id="6" name="Table5" displayName="Table5" ref="I6:J10" headerRowCount="1" totalsRowCount="0" totalsRowShown="0">
  <autoFilter ref="I6:J10"/>
  <tableColumns count="2">
    <tableColumn id="1" name="Component"/>
    <tableColumn id="2" name="Quantity"/>
  </tableColumns>
</table>
</file>

<file path=xl/tables/table7.xml><?xml version="1.0" encoding="utf-8"?>
<table xmlns="http://schemas.openxmlformats.org/spreadsheetml/2006/main" id="7" name="Table6" displayName="Table6" ref="C14:D17" headerRowCount="1" totalsRowCount="0" totalsRowShown="0">
  <autoFilter ref="C14:D17"/>
  <tableColumns count="2">
    <tableColumn id="1" name="Component"/>
    <tableColumn id="2" name="Cost/Quantity"/>
  </tableColumns>
</table>
</file>

<file path=xl/tables/table8.xml><?xml version="1.0" encoding="utf-8"?>
<table xmlns="http://schemas.openxmlformats.org/spreadsheetml/2006/main" id="8" name="Table7" displayName="Table7" ref="C21:D26" headerRowCount="1" totalsRowCount="0" totalsRowShown="0">
  <autoFilter ref="C21:D26"/>
  <tableColumns count="2">
    <tableColumn id="1" name="Component"/>
    <tableColumn id="2" name="Cost/Quantity"/>
  </tableColumns>
</table>
</file>

<file path=xl/tables/table9.xml><?xml version="1.0" encoding="utf-8"?>
<table xmlns="http://schemas.openxmlformats.org/spreadsheetml/2006/main" id="9" name="Table8" displayName="Table8" ref="D4:E10" headerRowCount="1" totalsRowCount="0" totalsRowShown="0">
  <autoFilter ref="D4:E10"/>
  <tableColumns count="2">
    <tableColumn id="1" name="Component"/>
    <tableColumn id="2" name="Quantity"/>
  </tableColumns>
</table>
</file>

<file path=xl/tables/table10.xml><?xml version="1.0" encoding="utf-8"?>
<table xmlns="http://schemas.openxmlformats.org/spreadsheetml/2006/main" id="10" name="Table9" displayName="Table9" ref="D14:E17" headerRowCount="1" totalsRowCount="0" totalsRowShown="0">
  <autoFilter ref="D14:E17"/>
  <tableColumns count="2">
    <tableColumn id="1" name="Component"/>
    <tableColumn id="2" name="Cos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Relationship Id="rId4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2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7" min="4" style="0" width="12"/>
    <col collapsed="false" customWidth="true" hidden="false" outlineLevel="0" max="10" min="8" style="0" width="14"/>
    <col collapsed="false" customWidth="true" hidden="false" outlineLevel="0" max="11" min="11" style="0" width="50"/>
  </cols>
  <sheetData>
    <row r="1" customFormat="false" ht="17.35" hidden="false" customHeight="false" outlineLevel="0" collapsed="false"/>
    <row r="2" customFormat="false" ht="17.35" hidden="false" customHeight="false" outlineLevel="0" collapsed="false">
      <c r="B2" s="1" t="s">
        <v>0</v>
      </c>
    </row>
    <row r="3" customFormat="false" ht="17.35" hidden="false" customHeight="false" outlineLevel="0" collapsed="false">
      <c r="B3" s="2" t="s">
        <v>1</v>
      </c>
    </row>
    <row r="4" customFormat="false" ht="17.35" hidden="false" customHeight="false" outlineLevel="0" collapsed="false">
      <c r="B4" s="3" t="s">
        <v>2</v>
      </c>
      <c r="C4" s="4" t="n">
        <v>22</v>
      </c>
    </row>
    <row r="5" customFormat="false" ht="26.85" hidden="false" customHeight="false" outlineLevel="0" collapsed="false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</row>
    <row r="6" customFormat="false" ht="18.65" hidden="false" customHeight="false" outlineLevel="0" collapsed="false">
      <c r="B6" s="6" t="s">
        <v>13</v>
      </c>
      <c r="C6" s="6" t="s">
        <v>14</v>
      </c>
      <c r="D6" s="6" t="n">
        <f aca="false">Inference!C11</f>
        <v>1840</v>
      </c>
      <c r="E6" s="6" t="n">
        <f aca="false">Inference!C12</f>
        <v>350</v>
      </c>
      <c r="F6" s="7" t="n">
        <v>0.1</v>
      </c>
      <c r="G6" s="7" t="n">
        <v>0.5</v>
      </c>
      <c r="H6" s="6" t="n">
        <f aca="false">Inference!C14</f>
        <v>60</v>
      </c>
      <c r="I6" s="8" t="n">
        <f aca="false">D6*F6/1000000+E6*G6/1000000</f>
        <v>0.000359</v>
      </c>
      <c r="J6" s="9" t="n">
        <f aca="false">I6*H6*$C$4</f>
        <v>0.47388</v>
      </c>
      <c r="K6" s="10" t="s">
        <v>15</v>
      </c>
    </row>
    <row r="7" customFormat="false" ht="18.65" hidden="false" customHeight="false" outlineLevel="0" collapsed="false">
      <c r="B7" s="6" t="s">
        <v>16</v>
      </c>
      <c r="C7" s="6" t="s">
        <v>17</v>
      </c>
      <c r="D7" s="7" t="n">
        <v>3050</v>
      </c>
      <c r="E7" s="7" t="n">
        <v>300</v>
      </c>
      <c r="F7" s="7" t="n">
        <v>2</v>
      </c>
      <c r="G7" s="7" t="n">
        <v>10</v>
      </c>
      <c r="H7" s="7" t="n">
        <v>15</v>
      </c>
      <c r="I7" s="8" t="n">
        <f aca="false">D7*F7/1000000+E7*G7/1000000</f>
        <v>0.0091</v>
      </c>
      <c r="J7" s="9" t="n">
        <f aca="false">I7*H7*$C$4</f>
        <v>3.003</v>
      </c>
      <c r="K7" s="10" t="s">
        <v>18</v>
      </c>
    </row>
    <row r="8" customFormat="false" ht="18.65" hidden="false" customHeight="false" outlineLevel="0" collapsed="false">
      <c r="B8" s="6" t="s">
        <v>19</v>
      </c>
      <c r="C8" s="6" t="s">
        <v>17</v>
      </c>
      <c r="D8" s="7" t="n">
        <v>3780</v>
      </c>
      <c r="E8" s="7" t="n">
        <v>300</v>
      </c>
      <c r="F8" s="7" t="n">
        <v>2</v>
      </c>
      <c r="G8" s="7" t="n">
        <v>10</v>
      </c>
      <c r="H8" s="7" t="n">
        <v>10</v>
      </c>
      <c r="I8" s="8" t="n">
        <f aca="false">D8*F8/1000000+E8*G8/1000000</f>
        <v>0.01056</v>
      </c>
      <c r="J8" s="9" t="n">
        <f aca="false">I8*H8*$C$4</f>
        <v>2.3232</v>
      </c>
      <c r="K8" s="10" t="s">
        <v>20</v>
      </c>
    </row>
    <row r="9" customFormat="false" ht="18.65" hidden="false" customHeight="false" outlineLevel="0" collapsed="false">
      <c r="B9" s="6" t="s">
        <v>21</v>
      </c>
      <c r="C9" s="6" t="s">
        <v>14</v>
      </c>
      <c r="D9" s="6" t="n">
        <f aca="false">Inference!C11</f>
        <v>1840</v>
      </c>
      <c r="E9" s="6" t="n">
        <f aca="false">Inference!C12</f>
        <v>350</v>
      </c>
      <c r="F9" s="7" t="n">
        <v>0.1</v>
      </c>
      <c r="G9" s="7" t="n">
        <v>0.5</v>
      </c>
      <c r="H9" s="6" t="n">
        <f aca="false">55/C4</f>
        <v>2.5</v>
      </c>
      <c r="I9" s="8" t="n">
        <f aca="false">D9*F9/1000000+E9*G9/1000000</f>
        <v>0.000359</v>
      </c>
      <c r="J9" s="9" t="n">
        <f aca="false">I9*H9*$C$4</f>
        <v>0.019745</v>
      </c>
      <c r="K9" s="10" t="s">
        <v>22</v>
      </c>
    </row>
    <row r="10" customFormat="false" ht="17.35" hidden="false" customHeight="false" outlineLevel="0" collapsed="false"/>
    <row r="11" customFormat="false" ht="17.35" hidden="false" customHeight="false" outlineLevel="0" collapsed="false">
      <c r="B11" s="3" t="s">
        <v>23</v>
      </c>
      <c r="J11" s="11" t="n">
        <f aca="false">SUM(J6:J9)</f>
        <v>5.819825</v>
      </c>
    </row>
    <row r="12" customFormat="false" ht="17.35" hidden="false" customHeight="false" outlineLevel="0" collapsed="false"/>
    <row r="13" customFormat="false" ht="17.35" hidden="false" customHeight="false" outlineLevel="0" collapsed="false">
      <c r="B13" s="3" t="s">
        <v>24</v>
      </c>
    </row>
    <row r="14" customFormat="false" ht="30" hidden="false" customHeight="true" outlineLevel="0" collapsed="false">
      <c r="B14" s="12" t="s">
        <v>25</v>
      </c>
      <c r="J14" s="13" t="n">
        <v>20</v>
      </c>
      <c r="K14" s="14" t="s">
        <v>26</v>
      </c>
    </row>
    <row r="15" customFormat="false" ht="30" hidden="false" customHeight="true" outlineLevel="0" collapsed="false">
      <c r="B15" s="12" t="s">
        <v>27</v>
      </c>
      <c r="J15" s="13" t="n">
        <v>0</v>
      </c>
      <c r="K15" s="14" t="s">
        <v>28</v>
      </c>
    </row>
    <row r="16" customFormat="false" ht="30" hidden="false" customHeight="true" outlineLevel="0" collapsed="false">
      <c r="B16" s="12" t="s">
        <v>29</v>
      </c>
      <c r="J16" s="13" t="n">
        <v>0</v>
      </c>
      <c r="K16" s="14" t="s">
        <v>30</v>
      </c>
    </row>
    <row r="17" customFormat="false" ht="30" hidden="false" customHeight="true" outlineLevel="0" collapsed="false">
      <c r="B17" s="12" t="s">
        <v>31</v>
      </c>
      <c r="J17" s="13" t="n">
        <v>0</v>
      </c>
      <c r="K17" s="14" t="s">
        <v>32</v>
      </c>
    </row>
    <row r="18" customFormat="false" ht="30" hidden="false" customHeight="true" outlineLevel="0" collapsed="false">
      <c r="B18" s="12" t="s">
        <v>33</v>
      </c>
      <c r="J18" s="15" t="n">
        <f aca="false">Embeddings!D29</f>
        <v>0.05939</v>
      </c>
      <c r="K18" s="14" t="s">
        <v>34</v>
      </c>
    </row>
    <row r="19" customFormat="false" ht="17.35" hidden="false" customHeight="false" outlineLevel="0" collapsed="false"/>
    <row r="20" customFormat="false" ht="17.35" hidden="false" customHeight="false" outlineLevel="0" collapsed="false">
      <c r="B20" s="16" t="s">
        <v>35</v>
      </c>
      <c r="J20" s="17" t="n">
        <f aca="false">J11+SUM(J14:J17)</f>
        <v>25.819825</v>
      </c>
    </row>
    <row r="21" customFormat="false" ht="17.35" hidden="false" customHeight="false" outlineLevel="0" collapsed="false">
      <c r="B21" s="12" t="s">
        <v>36</v>
      </c>
      <c r="J21" s="18" t="n">
        <f aca="false">J20/4</f>
        <v>6.45495625</v>
      </c>
    </row>
    <row r="22" customFormat="false" ht="17.35" hidden="false" customHeight="false" outlineLevel="0" collapsed="false">
      <c r="B22" s="12" t="s">
        <v>37</v>
      </c>
      <c r="J22" s="19" t="n">
        <f aca="false">J11/(H6*C4)</f>
        <v>0.00440895833333333</v>
      </c>
    </row>
    <row r="23" customFormat="false" ht="17.35" hidden="false" customHeight="false" outlineLevel="0" collapsed="false"/>
    <row r="24" customFormat="false" ht="17.35" hidden="false" customHeight="false" outlineLevel="0" collapsed="false">
      <c r="B24" s="3" t="s">
        <v>38</v>
      </c>
    </row>
    <row r="25" customFormat="false" ht="17.35" hidden="false" customHeight="false" outlineLevel="0" collapsed="false">
      <c r="B25" s="20" t="s">
        <v>39</v>
      </c>
      <c r="C25" s="20"/>
      <c r="D25" s="20"/>
      <c r="E25" s="20"/>
      <c r="F25" s="20"/>
      <c r="G25" s="20"/>
      <c r="H25" s="20"/>
      <c r="I25" s="20"/>
      <c r="J25" s="20"/>
      <c r="K25" s="20"/>
    </row>
    <row r="26" customFormat="false" ht="17.35" hidden="false" customHeight="false" outlineLevel="0" collapsed="false">
      <c r="B26" s="20" t="s">
        <v>40</v>
      </c>
      <c r="C26" s="20"/>
      <c r="D26" s="20"/>
      <c r="E26" s="20"/>
      <c r="F26" s="20"/>
      <c r="G26" s="20"/>
      <c r="H26" s="20"/>
      <c r="I26" s="20"/>
      <c r="J26" s="20"/>
      <c r="K26" s="20"/>
    </row>
    <row r="27" customFormat="false" ht="17.35" hidden="false" customHeight="false" outlineLevel="0" collapsed="false">
      <c r="B27" s="20" t="s">
        <v>41</v>
      </c>
      <c r="C27" s="20"/>
      <c r="D27" s="20"/>
      <c r="E27" s="20"/>
      <c r="F27" s="20"/>
      <c r="G27" s="20"/>
      <c r="H27" s="20"/>
      <c r="I27" s="20"/>
      <c r="J27" s="20"/>
      <c r="K27" s="20"/>
    </row>
    <row r="28" customFormat="false" ht="17.35" hidden="false" customHeight="false" outlineLevel="0" collapsed="false">
      <c r="B28" s="20" t="s">
        <v>42</v>
      </c>
      <c r="C28" s="20"/>
      <c r="D28" s="20"/>
      <c r="E28" s="20"/>
      <c r="F28" s="20"/>
      <c r="G28" s="20"/>
      <c r="H28" s="20"/>
      <c r="I28" s="20"/>
      <c r="J28" s="20"/>
      <c r="K28" s="20"/>
    </row>
    <row r="29" customFormat="false" ht="17.35" hidden="false" customHeight="false" outlineLevel="0" collapsed="false">
      <c r="B29" s="20" t="s">
        <v>43</v>
      </c>
      <c r="C29" s="20"/>
      <c r="D29" s="20"/>
      <c r="E29" s="20"/>
      <c r="F29" s="20"/>
      <c r="G29" s="20"/>
      <c r="H29" s="20"/>
      <c r="I29" s="20"/>
      <c r="J29" s="20"/>
      <c r="K29" s="20"/>
    </row>
    <row r="30" customFormat="false" ht="17.35" hidden="false" customHeight="false" outlineLevel="0" collapsed="false">
      <c r="B30" s="20" t="s">
        <v>44</v>
      </c>
      <c r="C30" s="20"/>
      <c r="D30" s="20"/>
      <c r="E30" s="20"/>
      <c r="F30" s="20"/>
      <c r="G30" s="20"/>
      <c r="H30" s="20"/>
      <c r="I30" s="20"/>
      <c r="J30" s="20"/>
      <c r="K30" s="20"/>
    </row>
    <row r="31" customFormat="false" ht="17.35" hidden="false" customHeight="false" outlineLevel="0" collapsed="false">
      <c r="B31" s="20" t="s">
        <v>45</v>
      </c>
      <c r="C31" s="20"/>
      <c r="D31" s="20"/>
      <c r="E31" s="20"/>
      <c r="F31" s="20"/>
      <c r="G31" s="20"/>
      <c r="H31" s="20"/>
      <c r="I31" s="20"/>
      <c r="J31" s="20"/>
      <c r="K31" s="20"/>
    </row>
    <row r="32" customFormat="false" ht="17.35" hidden="false" customHeight="false" outlineLevel="0" collapsed="false"/>
    <row r="33" customFormat="false" ht="17.35" hidden="false" customHeight="false" outlineLevel="0" collapsed="false">
      <c r="B33" s="2" t="s">
        <v>46</v>
      </c>
    </row>
    <row r="34" customFormat="false" ht="17.35" hidden="false" customHeight="false" outlineLevel="0" collapsed="false"/>
    <row r="35" customFormat="false" ht="17.35" hidden="false" customHeight="false" outlineLevel="0" collapsed="false">
      <c r="B35" s="3" t="s">
        <v>47</v>
      </c>
    </row>
    <row r="36" customFormat="false" ht="17.35" hidden="false" customHeight="false" outlineLevel="0" collapsed="false">
      <c r="B36" s="12" t="s">
        <v>48</v>
      </c>
      <c r="C36" s="4" t="n">
        <v>10</v>
      </c>
    </row>
    <row r="37" customFormat="false" ht="17.35" hidden="false" customHeight="false" outlineLevel="0" collapsed="false">
      <c r="B37" s="12" t="s">
        <v>49</v>
      </c>
      <c r="J37" s="18" t="n">
        <f aca="false">J11*C36</f>
        <v>58.19825</v>
      </c>
    </row>
    <row r="38" customFormat="false" ht="17.35" hidden="false" customHeight="false" outlineLevel="0" collapsed="false"/>
    <row r="39" customFormat="false" ht="17.35" hidden="false" customHeight="false" outlineLevel="0" collapsed="false">
      <c r="B39" s="16" t="s">
        <v>50</v>
      </c>
    </row>
    <row r="40" customFormat="false" ht="17.35" hidden="false" customHeight="false" outlineLevel="0" collapsed="false">
      <c r="B40" s="21" t="s">
        <v>3</v>
      </c>
      <c r="C40" s="21" t="s">
        <v>4</v>
      </c>
      <c r="D40" s="21"/>
      <c r="E40" s="21"/>
      <c r="F40" s="21" t="s">
        <v>7</v>
      </c>
      <c r="G40" s="21" t="s">
        <v>8</v>
      </c>
      <c r="H40" s="21"/>
      <c r="I40" s="21"/>
      <c r="J40" s="21" t="s">
        <v>11</v>
      </c>
      <c r="K40" s="21" t="s">
        <v>51</v>
      </c>
    </row>
    <row r="41" customFormat="false" ht="17.35" hidden="false" customHeight="false" outlineLevel="0" collapsed="false">
      <c r="B41" s="6" t="s">
        <v>52</v>
      </c>
      <c r="C41" s="6" t="s">
        <v>53</v>
      </c>
      <c r="D41" s="22"/>
      <c r="E41" s="22"/>
      <c r="F41" s="7" t="n">
        <v>0</v>
      </c>
      <c r="G41" s="7" t="n">
        <v>0</v>
      </c>
      <c r="H41" s="22"/>
      <c r="I41" s="22"/>
      <c r="J41" s="23" t="n">
        <v>0</v>
      </c>
      <c r="K41" s="24" t="s">
        <v>54</v>
      </c>
    </row>
    <row r="42" customFormat="false" ht="17.35" hidden="false" customHeight="false" outlineLevel="0" collapsed="false">
      <c r="B42" s="6" t="s">
        <v>16</v>
      </c>
      <c r="C42" s="6" t="s">
        <v>55</v>
      </c>
      <c r="D42" s="22"/>
      <c r="E42" s="22"/>
      <c r="F42" s="7" t="n">
        <v>0</v>
      </c>
      <c r="G42" s="7" t="n">
        <v>0</v>
      </c>
      <c r="H42" s="22"/>
      <c r="I42" s="22"/>
      <c r="J42" s="23" t="n">
        <v>0</v>
      </c>
      <c r="K42" s="22"/>
    </row>
    <row r="43" customFormat="false" ht="17.35" hidden="false" customHeight="false" outlineLevel="0" collapsed="false">
      <c r="B43" s="6" t="s">
        <v>56</v>
      </c>
      <c r="C43" s="6" t="s">
        <v>55</v>
      </c>
      <c r="D43" s="22"/>
      <c r="E43" s="22"/>
      <c r="F43" s="7" t="n">
        <v>0</v>
      </c>
      <c r="G43" s="7" t="n">
        <v>0</v>
      </c>
      <c r="H43" s="22"/>
      <c r="I43" s="22"/>
      <c r="J43" s="23" t="n">
        <v>0</v>
      </c>
      <c r="K43" s="22"/>
    </row>
    <row r="44" customFormat="false" ht="17.35" hidden="false" customHeight="false" outlineLevel="0" collapsed="false">
      <c r="B44" s="6" t="s">
        <v>57</v>
      </c>
      <c r="C44" s="6" t="s">
        <v>58</v>
      </c>
      <c r="D44" s="22"/>
      <c r="E44" s="22"/>
      <c r="F44" s="7" t="n">
        <v>0</v>
      </c>
      <c r="G44" s="7" t="n">
        <v>0</v>
      </c>
      <c r="H44" s="22"/>
      <c r="I44" s="22"/>
      <c r="J44" s="23" t="n">
        <v>0</v>
      </c>
      <c r="K44" s="24" t="s">
        <v>59</v>
      </c>
    </row>
    <row r="45" customFormat="false" ht="17.35" hidden="false" customHeight="false" outlineLevel="0" collapsed="false">
      <c r="B45" s="3" t="s">
        <v>60</v>
      </c>
      <c r="J45" s="11" t="n">
        <f aca="false">SUM(J41:J44)</f>
        <v>0</v>
      </c>
    </row>
    <row r="46" customFormat="false" ht="30" hidden="false" customHeight="true" outlineLevel="0" collapsed="false">
      <c r="B46" s="25" t="s">
        <v>61</v>
      </c>
      <c r="C46" s="25"/>
      <c r="D46" s="25"/>
      <c r="E46" s="25"/>
      <c r="F46" s="25"/>
      <c r="G46" s="25"/>
      <c r="H46" s="25"/>
      <c r="I46" s="25"/>
      <c r="J46" s="25"/>
      <c r="K46" s="25"/>
    </row>
    <row r="47" customFormat="false" ht="15" hidden="false" customHeight="false" outlineLevel="0" collapsed="false"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customFormat="false" ht="17.35" hidden="false" customHeight="false" outlineLevel="0" collapsed="false">
      <c r="B48" s="2" t="s">
        <v>62</v>
      </c>
    </row>
  </sheetData>
  <mergeCells count="8">
    <mergeCell ref="B25:K25"/>
    <mergeCell ref="B26:K26"/>
    <mergeCell ref="B27:K27"/>
    <mergeCell ref="B28:K28"/>
    <mergeCell ref="B29:K29"/>
    <mergeCell ref="B30:K30"/>
    <mergeCell ref="B31:K31"/>
    <mergeCell ref="B46:K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19921875" defaultRowHeight="18.75" zeroHeight="false" outlineLevelRow="0" outlineLevelCol="0"/>
  <cols>
    <col collapsed="false" customWidth="true" hidden="false" outlineLevel="0" max="2" min="2" style="0" width="29.1"/>
    <col collapsed="false" customWidth="true" hidden="false" outlineLevel="0" max="3" min="3" style="0" width="15.9"/>
    <col collapsed="false" customWidth="true" hidden="false" outlineLevel="0" max="5" min="5" style="0" width="16"/>
    <col collapsed="false" customWidth="true" hidden="false" outlineLevel="0" max="6" min="6" style="0" width="18.7"/>
    <col collapsed="false" customWidth="true" hidden="false" outlineLevel="0" max="7" min="7" style="0" width="20.3"/>
    <col collapsed="false" customWidth="true" hidden="false" outlineLevel="0" max="9" min="8" style="0" width="19"/>
    <col collapsed="false" customWidth="true" hidden="false" outlineLevel="0" max="10" min="10" style="0" width="12.6"/>
    <col collapsed="false" customWidth="true" hidden="false" outlineLevel="0" max="11" min="11" style="0" width="18.3"/>
  </cols>
  <sheetData>
    <row r="2" customFormat="false" ht="18.75" hidden="false" customHeight="false" outlineLevel="0" collapsed="false">
      <c r="B2" s="3" t="s">
        <v>63</v>
      </c>
    </row>
    <row r="3" customFormat="false" ht="19.5" hidden="false" customHeight="true" outlineLevel="0" collapsed="false"/>
    <row r="4" customFormat="false" ht="18.75" hidden="false" customHeight="true" outlineLevel="0" collapsed="false">
      <c r="B4" s="26" t="s">
        <v>64</v>
      </c>
      <c r="C4" s="26"/>
      <c r="E4" s="27" t="s">
        <v>65</v>
      </c>
      <c r="F4" s="27"/>
      <c r="G4" s="27"/>
      <c r="H4" s="27"/>
      <c r="I4" s="27"/>
      <c r="J4" s="27"/>
      <c r="K4" s="27"/>
    </row>
    <row r="5" customFormat="false" ht="39.75" hidden="false" customHeight="true" outlineLevel="0" collapsed="false">
      <c r="B5" s="28" t="s">
        <v>66</v>
      </c>
      <c r="C5" s="29" t="s">
        <v>67</v>
      </c>
      <c r="E5" s="30" t="s">
        <v>68</v>
      </c>
      <c r="F5" s="31" t="s">
        <v>69</v>
      </c>
      <c r="G5" s="31" t="s">
        <v>70</v>
      </c>
      <c r="H5" s="31" t="s">
        <v>71</v>
      </c>
      <c r="I5" s="31" t="s">
        <v>72</v>
      </c>
      <c r="J5" s="31" t="s">
        <v>73</v>
      </c>
      <c r="K5" s="32" t="s">
        <v>74</v>
      </c>
    </row>
    <row r="6" customFormat="false" ht="18.75" hidden="false" customHeight="false" outlineLevel="0" collapsed="false">
      <c r="B6" s="28" t="s">
        <v>75</v>
      </c>
      <c r="C6" s="33" t="n">
        <v>520</v>
      </c>
      <c r="E6" s="34" t="s">
        <v>14</v>
      </c>
      <c r="F6" s="35" t="n">
        <v>0.1</v>
      </c>
      <c r="G6" s="35" t="n">
        <v>0.5</v>
      </c>
      <c r="H6" s="36" t="n">
        <f aca="false">F6*$C$11/1000000</f>
        <v>0.000184</v>
      </c>
      <c r="I6" s="36" t="n">
        <f aca="false">G6*$C$12/1000000</f>
        <v>0.000175</v>
      </c>
      <c r="J6" s="36" t="n">
        <f aca="false">H6+I6</f>
        <v>0.000359</v>
      </c>
      <c r="K6" s="37" t="n">
        <f aca="false">Table2[[#This Row],[Total Cost per query]]*$C$16</f>
        <v>0.47388</v>
      </c>
    </row>
    <row r="7" customFormat="false" ht="18.75" hidden="false" customHeight="false" outlineLevel="0" collapsed="false">
      <c r="B7" s="28" t="s">
        <v>76</v>
      </c>
      <c r="C7" s="33" t="n">
        <v>600</v>
      </c>
      <c r="E7" s="34" t="s">
        <v>17</v>
      </c>
      <c r="F7" s="35" t="n">
        <v>2</v>
      </c>
      <c r="G7" s="35" t="n">
        <v>10</v>
      </c>
      <c r="H7" s="36" t="n">
        <f aca="false">F7*$C$11/1000000</f>
        <v>0.00368</v>
      </c>
      <c r="I7" s="36" t="n">
        <f aca="false">G7*$C$12/1000000</f>
        <v>0.0035</v>
      </c>
      <c r="J7" s="36" t="n">
        <f aca="false">H7+I7</f>
        <v>0.00718</v>
      </c>
      <c r="K7" s="37" t="n">
        <f aca="false">Table2[[#This Row],[Total Cost per query]]*$C$16</f>
        <v>9.4776</v>
      </c>
    </row>
    <row r="8" customFormat="false" ht="18.75" hidden="false" customHeight="false" outlineLevel="0" collapsed="false">
      <c r="B8" s="28" t="s">
        <v>77</v>
      </c>
      <c r="C8" s="33" t="n">
        <v>500</v>
      </c>
      <c r="E8" s="34" t="s">
        <v>78</v>
      </c>
      <c r="F8" s="35" t="n">
        <v>4</v>
      </c>
      <c r="G8" s="35" t="n">
        <v>20</v>
      </c>
      <c r="H8" s="36" t="n">
        <f aca="false">F8*$C$11/1000000</f>
        <v>0.00736</v>
      </c>
      <c r="I8" s="36" t="n">
        <f aca="false">G8*$C$12/1000000</f>
        <v>0.007</v>
      </c>
      <c r="J8" s="36" t="n">
        <f aca="false">H8+I8</f>
        <v>0.01436</v>
      </c>
      <c r="K8" s="37" t="n">
        <f aca="false">Table2[[#This Row],[Total Cost per query]]*$C$16</f>
        <v>18.9552</v>
      </c>
    </row>
    <row r="9" customFormat="false" ht="18.75" hidden="false" customHeight="false" outlineLevel="0" collapsed="false">
      <c r="B9" s="28" t="s">
        <v>79</v>
      </c>
      <c r="C9" s="33" t="n">
        <v>200</v>
      </c>
      <c r="E9" s="38" t="s">
        <v>80</v>
      </c>
      <c r="F9" s="39" t="n">
        <v>0</v>
      </c>
      <c r="G9" s="39" t="n">
        <v>0</v>
      </c>
      <c r="H9" s="40" t="n">
        <f aca="false">F9*$C$11/1000000</f>
        <v>0</v>
      </c>
      <c r="I9" s="40" t="n">
        <f aca="false">G9*$C$12/1000000</f>
        <v>0</v>
      </c>
      <c r="J9" s="40" t="n">
        <f aca="false">H9+I9</f>
        <v>0</v>
      </c>
      <c r="K9" s="41" t="n">
        <f aca="false">J9*$C$16</f>
        <v>0</v>
      </c>
    </row>
    <row r="10" customFormat="false" ht="18.75" hidden="false" customHeight="false" outlineLevel="0" collapsed="false">
      <c r="B10" s="28" t="s">
        <v>81</v>
      </c>
      <c r="C10" s="33" t="n">
        <v>20</v>
      </c>
      <c r="E10" s="42"/>
      <c r="F10" s="40"/>
      <c r="G10" s="40"/>
      <c r="H10" s="40"/>
      <c r="I10" s="40"/>
      <c r="J10" s="40"/>
      <c r="K10" s="41"/>
    </row>
    <row r="11" customFormat="false" ht="18.75" hidden="false" customHeight="false" outlineLevel="0" collapsed="false">
      <c r="B11" s="43" t="s">
        <v>82</v>
      </c>
      <c r="C11" s="44" t="n">
        <f aca="false">SUM(C6:C10)</f>
        <v>1840</v>
      </c>
      <c r="E11" s="45"/>
      <c r="F11" s="46"/>
      <c r="G11" s="46"/>
      <c r="H11" s="46"/>
      <c r="I11" s="46"/>
      <c r="J11" s="46"/>
      <c r="K11" s="47"/>
    </row>
    <row r="12" customFormat="false" ht="18.75" hidden="false" customHeight="false" outlineLevel="0" collapsed="false">
      <c r="B12" s="28" t="s">
        <v>83</v>
      </c>
      <c r="C12" s="33" t="n">
        <v>350</v>
      </c>
    </row>
    <row r="13" customFormat="false" ht="18.75" hidden="false" customHeight="false" outlineLevel="0" collapsed="false">
      <c r="B13" s="43" t="s">
        <v>84</v>
      </c>
      <c r="C13" s="44" t="n">
        <f aca="false">C11+C12</f>
        <v>2190</v>
      </c>
    </row>
    <row r="14" customFormat="false" ht="18.75" hidden="false" customHeight="false" outlineLevel="0" collapsed="false">
      <c r="B14" s="28" t="s">
        <v>85</v>
      </c>
      <c r="C14" s="33" t="n">
        <v>60</v>
      </c>
    </row>
    <row r="15" customFormat="false" ht="18.75" hidden="false" customHeight="true" outlineLevel="0" collapsed="false">
      <c r="B15" s="28" t="s">
        <v>86</v>
      </c>
      <c r="C15" s="33" t="n">
        <v>22</v>
      </c>
      <c r="E15" s="25" t="s">
        <v>87</v>
      </c>
      <c r="F15" s="25"/>
      <c r="G15" s="25"/>
      <c r="H15" s="25"/>
      <c r="I15" s="25"/>
      <c r="J15" s="25"/>
      <c r="K15" s="25"/>
    </row>
    <row r="16" customFormat="false" ht="19.5" hidden="false" customHeight="true" outlineLevel="0" collapsed="false">
      <c r="B16" s="48" t="s">
        <v>88</v>
      </c>
      <c r="C16" s="49" t="n">
        <f aca="false">C14*C15</f>
        <v>1320</v>
      </c>
      <c r="E16" s="25"/>
      <c r="F16" s="25"/>
      <c r="G16" s="25"/>
      <c r="H16" s="25"/>
      <c r="I16" s="25"/>
      <c r="J16" s="25"/>
      <c r="K16" s="25"/>
    </row>
    <row r="17" customFormat="false" ht="18.75" hidden="false" customHeight="false" outlineLevel="0" collapsed="false">
      <c r="E17" s="25"/>
      <c r="F17" s="25"/>
      <c r="G17" s="25"/>
      <c r="H17" s="25"/>
      <c r="I17" s="25"/>
      <c r="J17" s="25"/>
      <c r="K17" s="25"/>
    </row>
    <row r="18" customFormat="false" ht="18.75" hidden="false" customHeight="false" outlineLevel="0" collapsed="false">
      <c r="E18" s="2" t="s">
        <v>46</v>
      </c>
    </row>
  </sheetData>
  <mergeCells count="3">
    <mergeCell ref="B4:C4"/>
    <mergeCell ref="E4:K4"/>
    <mergeCell ref="E15:K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19921875" defaultRowHeight="18.75" zeroHeight="false" outlineLevelRow="0" outlineLevelCol="0"/>
  <cols>
    <col collapsed="false" customWidth="true" hidden="false" outlineLevel="0" max="3" min="3" style="0" width="31.3"/>
    <col collapsed="false" customWidth="true" hidden="false" outlineLevel="0" max="4" min="4" style="0" width="18"/>
    <col collapsed="false" customWidth="true" hidden="false" outlineLevel="0" max="6" min="6" style="0" width="22.29"/>
    <col collapsed="false" customWidth="true" hidden="false" outlineLevel="0" max="7" min="7" style="0" width="15"/>
    <col collapsed="false" customWidth="true" hidden="false" outlineLevel="0" max="9" min="9" style="0" width="23.4"/>
    <col collapsed="false" customWidth="true" hidden="false" outlineLevel="0" max="10" min="10" style="0" width="14.9"/>
  </cols>
  <sheetData>
    <row r="1" customFormat="false" ht="18.75" hidden="false" customHeight="false" outlineLevel="0" collapsed="false">
      <c r="C1" s="3" t="s">
        <v>89</v>
      </c>
    </row>
    <row r="2" customFormat="false" ht="19.5" hidden="false" customHeight="true" outlineLevel="0" collapsed="false"/>
    <row r="3" customFormat="false" ht="24.75" hidden="false" customHeight="true" outlineLevel="0" collapsed="false">
      <c r="C3" s="50" t="s">
        <v>90</v>
      </c>
      <c r="D3" s="51" t="n">
        <v>1.3</v>
      </c>
    </row>
    <row r="4" customFormat="false" ht="19.5" hidden="false" customHeight="true" outlineLevel="0" collapsed="false"/>
    <row r="5" customFormat="false" ht="19.5" hidden="false" customHeight="true" outlineLevel="0" collapsed="false">
      <c r="C5" s="52" t="s">
        <v>91</v>
      </c>
      <c r="D5" s="52"/>
      <c r="F5" s="53" t="s">
        <v>92</v>
      </c>
      <c r="G5" s="53"/>
      <c r="I5" s="53" t="s">
        <v>93</v>
      </c>
      <c r="J5" s="53"/>
    </row>
    <row r="6" customFormat="false" ht="19.5" hidden="false" customHeight="true" outlineLevel="0" collapsed="false">
      <c r="C6" s="54" t="s">
        <v>94</v>
      </c>
      <c r="D6" s="55" t="s">
        <v>67</v>
      </c>
      <c r="F6" s="54" t="s">
        <v>94</v>
      </c>
      <c r="G6" s="55" t="s">
        <v>67</v>
      </c>
      <c r="I6" s="54" t="s">
        <v>94</v>
      </c>
      <c r="J6" s="55" t="s">
        <v>67</v>
      </c>
    </row>
    <row r="7" customFormat="false" ht="18.75" hidden="false" customHeight="false" outlineLevel="0" collapsed="false">
      <c r="C7" s="56" t="s">
        <v>95</v>
      </c>
      <c r="D7" s="57" t="n">
        <v>6000</v>
      </c>
      <c r="F7" s="58" t="s">
        <v>96</v>
      </c>
      <c r="G7" s="59" t="n">
        <v>1500</v>
      </c>
      <c r="I7" s="60" t="s">
        <v>97</v>
      </c>
      <c r="J7" s="57" t="n">
        <v>8000</v>
      </c>
    </row>
    <row r="8" customFormat="false" ht="19.5" hidden="false" customHeight="true" outlineLevel="0" collapsed="false">
      <c r="C8" s="56" t="s">
        <v>98</v>
      </c>
      <c r="D8" s="57" t="n">
        <v>250</v>
      </c>
      <c r="F8" s="58" t="s">
        <v>99</v>
      </c>
      <c r="G8" s="59" t="n">
        <v>200</v>
      </c>
      <c r="I8" s="61" t="s">
        <v>100</v>
      </c>
      <c r="J8" s="57" t="n">
        <v>60</v>
      </c>
    </row>
    <row r="9" customFormat="false" ht="18.75" hidden="false" customHeight="false" outlineLevel="0" collapsed="false">
      <c r="C9" s="56" t="s">
        <v>101</v>
      </c>
      <c r="D9" s="62" t="n">
        <f aca="false">D7*D8</f>
        <v>1500000</v>
      </c>
      <c r="F9" s="58" t="s">
        <v>101</v>
      </c>
      <c r="G9" s="63" t="n">
        <f aca="false">G8*G7</f>
        <v>300000</v>
      </c>
      <c r="I9" s="60" t="s">
        <v>101</v>
      </c>
      <c r="J9" s="62" t="n">
        <f aca="false">J8*J7</f>
        <v>480000</v>
      </c>
    </row>
    <row r="10" customFormat="false" ht="19.5" hidden="false" customHeight="true" outlineLevel="0" collapsed="false">
      <c r="C10" s="64" t="s">
        <v>102</v>
      </c>
      <c r="D10" s="65" t="n">
        <f aca="false">D9*D3</f>
        <v>1950000</v>
      </c>
      <c r="F10" s="64" t="s">
        <v>103</v>
      </c>
      <c r="G10" s="65" t="n">
        <f aca="false">G9*D3</f>
        <v>390000</v>
      </c>
      <c r="I10" s="64" t="s">
        <v>103</v>
      </c>
      <c r="J10" s="65" t="n">
        <f aca="false">J9*D3</f>
        <v>624000</v>
      </c>
    </row>
    <row r="12" customFormat="false" ht="19.5" hidden="false" customHeight="true" outlineLevel="0" collapsed="false"/>
    <row r="13" customFormat="false" ht="18.75" hidden="false" customHeight="true" outlineLevel="0" collapsed="false">
      <c r="C13" s="52" t="s">
        <v>104</v>
      </c>
      <c r="D13" s="52"/>
    </row>
    <row r="14" customFormat="false" ht="19.5" hidden="false" customHeight="true" outlineLevel="0" collapsed="false">
      <c r="C14" s="54" t="s">
        <v>94</v>
      </c>
      <c r="D14" s="55" t="s">
        <v>105</v>
      </c>
    </row>
    <row r="15" customFormat="false" ht="18.75" hidden="false" customHeight="false" outlineLevel="0" collapsed="false">
      <c r="C15" s="56" t="s">
        <v>106</v>
      </c>
      <c r="D15" s="62" t="n">
        <f aca="false">D10+G10+J10</f>
        <v>2964000</v>
      </c>
    </row>
    <row r="16" customFormat="false" ht="18.75" hidden="false" customHeight="false" outlineLevel="0" collapsed="false">
      <c r="C16" s="56" t="s">
        <v>107</v>
      </c>
      <c r="D16" s="57" t="n">
        <v>0.02</v>
      </c>
    </row>
    <row r="17" customFormat="false" ht="19.5" hidden="false" customHeight="true" outlineLevel="0" collapsed="false">
      <c r="C17" s="66" t="s">
        <v>108</v>
      </c>
      <c r="D17" s="67" t="n">
        <f aca="false">D15*D16/1000000</f>
        <v>0.05928</v>
      </c>
    </row>
    <row r="19" customFormat="false" ht="19.5" hidden="false" customHeight="true" outlineLevel="0" collapsed="false"/>
    <row r="20" customFormat="false" ht="18.75" hidden="false" customHeight="true" outlineLevel="0" collapsed="false">
      <c r="C20" s="52" t="s">
        <v>109</v>
      </c>
      <c r="D20" s="52"/>
    </row>
    <row r="21" customFormat="false" ht="19.5" hidden="false" customHeight="true" outlineLevel="0" collapsed="false">
      <c r="C21" s="54" t="s">
        <v>94</v>
      </c>
      <c r="D21" s="55" t="s">
        <v>105</v>
      </c>
    </row>
    <row r="22" customFormat="false" ht="18.75" hidden="false" customHeight="false" outlineLevel="0" collapsed="false">
      <c r="C22" s="56" t="s">
        <v>110</v>
      </c>
      <c r="D22" s="33" t="n">
        <v>25</v>
      </c>
    </row>
    <row r="23" customFormat="false" ht="18.75" hidden="false" customHeight="false" outlineLevel="0" collapsed="false">
      <c r="C23" s="56" t="s">
        <v>111</v>
      </c>
      <c r="D23" s="57" t="n">
        <f aca="false">10*22</f>
        <v>220</v>
      </c>
    </row>
    <row r="24" customFormat="false" ht="18.75" hidden="false" customHeight="false" outlineLevel="0" collapsed="false">
      <c r="C24" s="56" t="s">
        <v>112</v>
      </c>
      <c r="D24" s="62" t="n">
        <f aca="false">D23*D22</f>
        <v>5500</v>
      </c>
    </row>
    <row r="25" customFormat="false" ht="18.75" hidden="false" customHeight="false" outlineLevel="0" collapsed="false">
      <c r="C25" s="68" t="s">
        <v>107</v>
      </c>
      <c r="D25" s="69" t="n">
        <v>0.02</v>
      </c>
    </row>
    <row r="26" customFormat="false" ht="19.5" hidden="false" customHeight="true" outlineLevel="0" collapsed="false">
      <c r="C26" s="70" t="s">
        <v>113</v>
      </c>
      <c r="D26" s="67" t="n">
        <f aca="false">D24*D25/1000000</f>
        <v>0.00011</v>
      </c>
    </row>
    <row r="28" customFormat="false" ht="19.5" hidden="false" customHeight="true" outlineLevel="0" collapsed="false"/>
    <row r="29" customFormat="false" ht="19.5" hidden="false" customHeight="true" outlineLevel="0" collapsed="false">
      <c r="C29" s="71" t="s">
        <v>114</v>
      </c>
      <c r="D29" s="72" t="n">
        <f aca="false">D17+D26</f>
        <v>0.05939</v>
      </c>
    </row>
  </sheetData>
  <mergeCells count="5">
    <mergeCell ref="C5:D5"/>
    <mergeCell ref="F5:G5"/>
    <mergeCell ref="I5:J5"/>
    <mergeCell ref="C13:D13"/>
    <mergeCell ref="C20:D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19921875" defaultRowHeight="18.75" zeroHeight="false" outlineLevelRow="0" outlineLevelCol="0"/>
  <cols>
    <col collapsed="false" customWidth="true" hidden="false" outlineLevel="0" max="4" min="4" style="0" width="70"/>
    <col collapsed="false" customWidth="true" hidden="false" outlineLevel="0" max="5" min="5" style="0" width="15"/>
  </cols>
  <sheetData>
    <row r="3" customFormat="false" ht="18.75" hidden="false" customHeight="false" outlineLevel="0" collapsed="false">
      <c r="D3" s="73" t="s">
        <v>115</v>
      </c>
      <c r="E3" s="73"/>
    </row>
    <row r="4" customFormat="false" ht="18.75" hidden="false" customHeight="false" outlineLevel="0" collapsed="false">
      <c r="D4" s="74" t="s">
        <v>94</v>
      </c>
      <c r="E4" s="74" t="s">
        <v>67</v>
      </c>
    </row>
    <row r="5" customFormat="false" ht="18.75" hidden="false" customHeight="false" outlineLevel="0" collapsed="false">
      <c r="D5" s="74" t="s">
        <v>116</v>
      </c>
      <c r="E5" s="75" t="n">
        <f aca="false">'Recall Monthly Cost'!H6</f>
        <v>60</v>
      </c>
    </row>
    <row r="6" customFormat="false" ht="18.75" hidden="false" customHeight="false" outlineLevel="0" collapsed="false">
      <c r="D6" s="74" t="s">
        <v>117</v>
      </c>
      <c r="E6" s="75" t="n">
        <v>120</v>
      </c>
    </row>
    <row r="7" customFormat="false" ht="18.75" hidden="false" customHeight="false" outlineLevel="0" collapsed="false">
      <c r="D7" s="74" t="s">
        <v>118</v>
      </c>
      <c r="E7" s="75" t="n">
        <f aca="false">'Recall Monthly Cost'!C4</f>
        <v>22</v>
      </c>
    </row>
    <row r="8" customFormat="false" ht="18.75" hidden="false" customHeight="false" outlineLevel="0" collapsed="false">
      <c r="D8" s="74" t="s">
        <v>119</v>
      </c>
      <c r="E8" s="74" t="n">
        <f aca="false">E6*E7</f>
        <v>2640</v>
      </c>
    </row>
    <row r="9" customFormat="false" ht="18.75" hidden="false" customHeight="false" outlineLevel="0" collapsed="false">
      <c r="D9" s="74" t="s">
        <v>120</v>
      </c>
      <c r="E9" s="74" t="n">
        <f aca="false">E5*E7</f>
        <v>1320</v>
      </c>
    </row>
    <row r="10" customFormat="false" ht="18.75" hidden="false" customHeight="false" outlineLevel="0" collapsed="false">
      <c r="D10" s="74" t="s">
        <v>121</v>
      </c>
      <c r="E10" s="76" t="n">
        <f aca="false">E9/E8</f>
        <v>0.5</v>
      </c>
    </row>
    <row r="13" customFormat="false" ht="18.75" hidden="false" customHeight="false" outlineLevel="0" collapsed="false">
      <c r="D13" s="73" t="s">
        <v>122</v>
      </c>
      <c r="E13" s="73"/>
    </row>
    <row r="14" customFormat="false" ht="18.75" hidden="false" customHeight="false" outlineLevel="0" collapsed="false">
      <c r="D14" s="30" t="s">
        <v>94</v>
      </c>
      <c r="E14" s="77" t="s">
        <v>123</v>
      </c>
    </row>
    <row r="15" customFormat="false" ht="18.75" hidden="false" customHeight="false" outlineLevel="0" collapsed="false">
      <c r="D15" s="78" t="s">
        <v>124</v>
      </c>
      <c r="E15" s="79" t="n">
        <v>550</v>
      </c>
    </row>
    <row r="16" customFormat="false" ht="18.75" hidden="false" customHeight="false" outlineLevel="0" collapsed="false">
      <c r="D16" s="78" t="s">
        <v>125</v>
      </c>
      <c r="E16" s="80" t="n">
        <v>120</v>
      </c>
    </row>
    <row r="17" customFormat="false" ht="18.75" hidden="false" customHeight="false" outlineLevel="0" collapsed="false">
      <c r="D17" s="81" t="s">
        <v>126</v>
      </c>
      <c r="E17" s="82" t="n">
        <f aca="false">E15+E16</f>
        <v>670</v>
      </c>
    </row>
    <row r="19" customFormat="false" ht="18.75" hidden="false" customHeight="false" outlineLevel="0" collapsed="false">
      <c r="D19" s="83" t="s">
        <v>127</v>
      </c>
      <c r="E19" s="84" t="n">
        <f aca="false">E17*E10</f>
        <v>335</v>
      </c>
    </row>
    <row r="22" customFormat="false" ht="19.5" hidden="false" customHeight="true" outlineLevel="0" collapsed="false">
      <c r="D22" s="85" t="s">
        <v>128</v>
      </c>
      <c r="E22" s="85"/>
    </row>
    <row r="23" customFormat="false" ht="18.75" hidden="false" customHeight="false" outlineLevel="0" collapsed="false">
      <c r="D23" s="30" t="s">
        <v>94</v>
      </c>
      <c r="E23" s="77" t="s">
        <v>123</v>
      </c>
    </row>
    <row r="24" customFormat="false" ht="18.75" hidden="false" customHeight="false" outlineLevel="0" collapsed="false">
      <c r="D24" s="42" t="s">
        <v>129</v>
      </c>
      <c r="E24" s="86" t="n">
        <f aca="false">'Recall Monthly Cost'!J11</f>
        <v>5.819825</v>
      </c>
    </row>
    <row r="25" customFormat="false" ht="18.75" hidden="false" customHeight="false" outlineLevel="0" collapsed="false">
      <c r="D25" s="45" t="s">
        <v>130</v>
      </c>
      <c r="E25" s="87" t="n">
        <f aca="false">SUM('Recall Monthly Cost'!J14:J17)</f>
        <v>20</v>
      </c>
    </row>
    <row r="27" customFormat="false" ht="18.75" hidden="false" customHeight="false" outlineLevel="0" collapsed="false">
      <c r="D27" s="83" t="s">
        <v>131</v>
      </c>
      <c r="E27" s="84" t="n">
        <f aca="false">E24+E25</f>
        <v>25.819825</v>
      </c>
    </row>
    <row r="30" customFormat="false" ht="18.75" hidden="false" customHeight="false" outlineLevel="0" collapsed="false">
      <c r="D30" s="88" t="s">
        <v>132</v>
      </c>
      <c r="E30" s="89" t="n">
        <f aca="false">E19-E27</f>
        <v>309.180175</v>
      </c>
    </row>
    <row r="31" customFormat="false" ht="18.75" hidden="false" customHeight="false" outlineLevel="0" collapsed="false">
      <c r="D31" s="88" t="s">
        <v>133</v>
      </c>
      <c r="E31" s="90" t="n">
        <f aca="false">E30/E19</f>
        <v>0.922925895522388</v>
      </c>
    </row>
    <row r="34" customFormat="false" ht="18.75" hidden="false" customHeight="false" outlineLevel="0" collapsed="false">
      <c r="D34" s="3" t="s">
        <v>134</v>
      </c>
    </row>
    <row r="35" customFormat="false" ht="18.75" hidden="false" customHeight="false" outlineLevel="0" collapsed="false">
      <c r="D35" s="12" t="s">
        <v>135</v>
      </c>
      <c r="E35" s="91" t="n">
        <v>30</v>
      </c>
    </row>
    <row r="36" customFormat="false" ht="18.75" hidden="false" customHeight="false" outlineLevel="0" collapsed="false">
      <c r="D36" s="12" t="s">
        <v>136</v>
      </c>
      <c r="E36" s="91" t="n">
        <v>60</v>
      </c>
    </row>
    <row r="37" customFormat="false" ht="18.75" hidden="false" customHeight="false" outlineLevel="0" collapsed="false">
      <c r="D37" s="12" t="s">
        <v>137</v>
      </c>
      <c r="E37" s="92" t="n">
        <f aca="false">E35*E36</f>
        <v>1800</v>
      </c>
    </row>
    <row r="38" customFormat="false" ht="18.75" hidden="false" customHeight="false" outlineLevel="0" collapsed="false">
      <c r="D38" s="12" t="s">
        <v>138</v>
      </c>
      <c r="E38" s="91" t="n">
        <v>663000</v>
      </c>
    </row>
    <row r="39" customFormat="false" ht="18.75" hidden="false" customHeight="false" outlineLevel="0" collapsed="false">
      <c r="D39" s="12" t="s">
        <v>139</v>
      </c>
      <c r="E39" s="93" t="n">
        <v>0.1</v>
      </c>
    </row>
    <row r="40" customFormat="false" ht="18.75" hidden="false" customHeight="false" outlineLevel="0" collapsed="false">
      <c r="D40" s="12" t="s">
        <v>140</v>
      </c>
      <c r="E40" s="92" t="n">
        <f aca="false">E38*E39</f>
        <v>66300</v>
      </c>
    </row>
    <row r="41" customFormat="false" ht="18.75" hidden="false" customHeight="false" outlineLevel="0" collapsed="false">
      <c r="D41" s="12" t="s">
        <v>141</v>
      </c>
      <c r="E41" s="94" t="n">
        <f aca="false">20000/E27</f>
        <v>774.598588487722</v>
      </c>
    </row>
  </sheetData>
  <mergeCells count="3">
    <mergeCell ref="D3:E3"/>
    <mergeCell ref="D13:E13"/>
    <mergeCell ref="D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2026-09-12T10:38:39Z</dcterms:created>
  <dc:creator>Aakash  Pardeshi</dc:creator>
  <dc:description/>
  <dc:language>en-US</dc:language>
  <cp:lastModifiedBy/>
  <dcterms:modified xsi:type="dcterms:W3CDTF">2026-10-14T16:15:51Z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